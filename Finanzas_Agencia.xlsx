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onfiguración" sheetId="2" state="visible" r:id="rId4"/>
    <sheet name="Cobros" sheetId="3" state="visible" r:id="rId5"/>
    <sheet name="Resumen mensual" sheetId="4" state="visible" r:id="rId6"/>
    <sheet name="Detalle del mes" sheetId="5" state="visible" r:id="rId7"/>
    <sheet name="Por cliente" sheetId="6" state="visible" r:id="rId8"/>
  </sheets>
  <definedNames>
    <definedName function="false" hidden="true" localSheetId="2" name="_xlnm._FilterDatabase" vbProcedure="false">Cobros!$A$1:$L$501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<sst xmlns="http://schemas.openxmlformats.org/spreadsheetml/2006/main" count="160" uniqueCount="123">
  <si>
    <t xml:space="preserve">Finanzas de la agencia</t>
  </si>
  <si>
    <t xml:space="preserve">Cómo funciona</t>
  </si>
  <si>
    <t xml:space="preserve">1. Configuración: pon el nombre de cada socia, el % de reparto (50/50 por defecto), el IVA (21 %), el IRPF (15 %) y el año.</t>
  </si>
  <si>
    <t xml:space="preserve">   Añade también la lista de tus clientes: luego los elegirás en un desplegable.</t>
  </si>
  <si>
    <t xml:space="preserve">2. Cobros: cada vez que un cliente te pague, añade una fila: fecha, cliente, concepto, importe y forma de pago.</t>
  </si>
  <si>
    <t xml:space="preserve">   Las columnas grises se calculan solas: base, IVA, total con IVA, IRPF, neto y lo que le toca a cada socia.</t>
  </si>
  <si>
    <t xml:space="preserve">3. Resumen mensual: mes a mes, lo facturado, el IVA, el IRPF, el neto de cada socia y cuánto entró en efectivo y por transferencia.</t>
  </si>
  <si>
    <t xml:space="preserve">   Debajo tienes el resumen por trimestres (útil para los modelos 303 de IVA y 130 de IRPF).</t>
  </si>
  <si>
    <t xml:space="preserve">4. Detalle del mes: elige un mes y ves el reparto entre socias y lo que ha pagado cada cliente ese mes.</t>
  </si>
  <si>
    <t xml:space="preserve">5. Por cliente: cuánto ha pagado cada cliente cada mes del año.</t>
  </si>
  <si>
    <t xml:space="preserve">Cómo se calcula</t>
  </si>
  <si>
    <t xml:space="preserve">Base imponible = el importe sin IVA (si en Configuración dices que tus importes ya llevan IVA, se lo quita: importe / 1,21).</t>
  </si>
  <si>
    <t xml:space="preserve">IVA = base × 21 %. Es dinero de Hacienda: lo cobras pero lo tienes que ingresar cada trimestre.</t>
  </si>
  <si>
    <t xml:space="preserve">IRPF = base × 15 %. Es la parte que conviene apartar para Hacienda.</t>
  </si>
  <si>
    <t xml:space="preserve">Neto = base − IRPF. Es lo que de verdad ganáis, y se reparte entre las dos socias según el %.</t>
  </si>
  <si>
    <t xml:space="preserve">Colores</t>
  </si>
  <si>
    <t xml:space="preserve">Fondo amarillo con texto azul = lo rellenas tú.</t>
  </si>
  <si>
    <t xml:space="preserve">Fondo gris = se calcula solo, no hace falta tocarlo.</t>
  </si>
  <si>
    <t xml:space="preserve">Texto verde = dato que viene de otra hoja.</t>
  </si>
  <si>
    <t xml:space="preserve">Las filas marcadas (ejemplo) en 'Cobros' y los clientes de ejemplo son solo una muestra: bórralos o cámbialos.</t>
  </si>
  <si>
    <t xml:space="preserve">Este libro calcula sobre los ingresos. No resta gastos de la agencia, así que el IRPF es una estimación para apartar, no la cifra exacta a pagar.</t>
  </si>
  <si>
    <t xml:space="preserve">Configuración</t>
  </si>
  <si>
    <t xml:space="preserve">Socias</t>
  </si>
  <si>
    <t xml:space="preserve">Nombre</t>
  </si>
  <si>
    <t xml:space="preserve">% del reparto</t>
  </si>
  <si>
    <t xml:space="preserve">Socia 1</t>
  </si>
  <si>
    <t xml:space="preserve">← cambia los nombres y el % de la socia 1; el de la socia 2 se ajusta solo</t>
  </si>
  <si>
    <t xml:space="preserve">Socia 2</t>
  </si>
  <si>
    <t xml:space="preserve">Impuestos y opciones</t>
  </si>
  <si>
    <t xml:space="preserve">Valor</t>
  </si>
  <si>
    <t xml:space="preserve">IVA</t>
  </si>
  <si>
    <t xml:space="preserve">Tipo general en España</t>
  </si>
  <si>
    <t xml:space="preserve">IRPF</t>
  </si>
  <si>
    <t xml:space="preserve">15 % general (7 % los primeros años de actividad). Cámbialo si tu gestoría te indica otro</t>
  </si>
  <si>
    <t xml:space="preserve">¿Los importes que apunto ya llevan IVA?</t>
  </si>
  <si>
    <t xml:space="preserve">No</t>
  </si>
  <si>
    <t xml:space="preserve">"No" = apuntas la cantidad sin IVA (la base).  "Sí" = apuntas el total que paga el cliente con IVA</t>
  </si>
  <si>
    <t xml:space="preserve">Año a analizar</t>
  </si>
  <si>
    <t xml:space="preserve">Año</t>
  </si>
  <si>
    <t xml:space="preserve">Año de los resúmenes</t>
  </si>
  <si>
    <t xml:space="preserve">Clientes</t>
  </si>
  <si>
    <t xml:space="preserve">Formas de pago</t>
  </si>
  <si>
    <t xml:space="preserve">Cliente A (ejemplo)</t>
  </si>
  <si>
    <t xml:space="preserve">Transferencia</t>
  </si>
  <si>
    <t xml:space="preserve">Cliente B (ejemplo)</t>
  </si>
  <si>
    <t xml:space="preserve">Efectivo</t>
  </si>
  <si>
    <t xml:space="preserve">Cliente C (ejemplo)</t>
  </si>
  <si>
    <t xml:space="preserve">Bizum</t>
  </si>
  <si>
    <t xml:space="preserve">Cliente D (ejemplo)</t>
  </si>
  <si>
    <t xml:space="preserve">Fecha</t>
  </si>
  <si>
    <t xml:space="preserve">Cliente</t>
  </si>
  <si>
    <t xml:space="preserve">Concepto</t>
  </si>
  <si>
    <t xml:space="preserve">Importe (€)</t>
  </si>
  <si>
    <t xml:space="preserve">Forma de pago</t>
  </si>
  <si>
    <t xml:space="preserve">Base imponible (€)</t>
  </si>
  <si>
    <t xml:space="preserve">IVA (€)</t>
  </si>
  <si>
    <t xml:space="preserve">Total con IVA (€)</t>
  </si>
  <si>
    <t xml:space="preserve">IRPF (€)</t>
  </si>
  <si>
    <t xml:space="preserve">Neto (€)</t>
  </si>
  <si>
    <t xml:space="preserve">Gestión redes sociales septiembre</t>
  </si>
  <si>
    <t xml:space="preserve">Campaña Meta Ads</t>
  </si>
  <si>
    <t xml:space="preserve">Gestión redes sociales octubre</t>
  </si>
  <si>
    <t xml:space="preserve">Diseño web</t>
  </si>
  <si>
    <t xml:space="preserve">Resumen mensual</t>
  </si>
  <si>
    <t xml:space="preserve">(se cambia en Configuración)</t>
  </si>
  <si>
    <t xml:space="preserve">Cobros sin fecha</t>
  </si>
  <si>
    <t xml:space="preserve">← si no es 0, hay importes sin fecha que no salen en los resúmenes</t>
  </si>
  <si>
    <t xml:space="preserve">Mes</t>
  </si>
  <si>
    <t xml:space="preserve">Nº cobros</t>
  </si>
  <si>
    <t xml:space="preserve">Cobrado en efectivo (€)</t>
  </si>
  <si>
    <t xml:space="preserve">Cobrado por transferencia (€)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</si>
  <si>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</si>
  <si>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</si>
  <si>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</si>
  <si>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</si>
  <si>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</si>
  <si>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</si>
  <si>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</si>
  <si>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</si>
  <si>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</si>
  <si>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</si>
  <si>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</si>
  <si>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</si>
  <si>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 año</t>
  </si>
  <si>
    <t xml:space="preserve">Media mensual</t>
  </si>
  <si>
    <t xml:space="preserve">La media solo cuenta los meses con algún cobro.</t>
  </si>
  <si>
    <t xml:space="preserve">Por trimestres</t>
  </si>
  <si>
    <t xml:space="preserve">Trimestre</t>
  </si>
  <si>
    <t xml:space="preserve">IVA cobrado (€)</t>
  </si>
  <si>
    <t xml:space="preserve">1T (Ene–Mar)</t>
  </si>
  <si>
    <t xml:space="preserve">2T (Abr–Jun)</t>
  </si>
  <si>
    <t xml:space="preserve">3T (Jul–Sep)</t>
  </si>
  <si>
    <t xml:space="preserve">4T (Oct–Dic)</t>
  </si>
  <si>
    <t xml:space="preserve">IVA cobrado = el que tendrás que ingresar en el modelo 303, menos el IVA de tus facturas de gastos (este libro no registra gastos).</t>
  </si>
  <si>
    <t xml:space="preserve">Detalle del mes</t>
  </si>
  <si>
    <t xml:space="preserve">← puedes escribir otro año si quieres</t>
  </si>
  <si>
    <t xml:space="preserve">Mes (1-12)</t>
  </si>
  <si>
    <t xml:space="preserve">Total agencia (€)</t>
  </si>
  <si>
    <t xml:space="preserve">Facturado (base imponible)</t>
  </si>
  <si>
    <t xml:space="preserve">IVA (para Hacienda)</t>
  </si>
  <si>
    <t xml:space="preserve">Total cobrado con IVA</t>
  </si>
  <si>
    <t xml:space="preserve">IRPF a apartar</t>
  </si>
  <si>
    <t xml:space="preserve">Neto (lo que ganáis)</t>
  </si>
  <si>
    <t xml:space="preserve">Cobrado en efectivo (con IVA)</t>
  </si>
  <si>
    <t xml:space="preserve">Cobrado por transferencia (con IVA)</t>
  </si>
  <si>
    <t xml:space="preserve">Número de cobros</t>
  </si>
  <si>
    <t xml:space="preserve">Forma de pago: efectivo (€)</t>
  </si>
  <si>
    <t xml:space="preserve">Forma de pago: transferencia (€)</t>
  </si>
  <si>
    <t xml:space="preserve">Total</t>
  </si>
  <si>
    <t xml:space="preserve">Facturación por cliente (base imponible, sin IVA)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</si>
  <si>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</si>
  <si>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</si>
  <si>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</si>
  <si>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</si>
  <si>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</si>
  <si>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</si>
  <si>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</si>
  <si>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</si>
  <si>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</si>
  <si>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</si>
  <si>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</si>
  <si>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</si>
  <si>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% del 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</si>
</sst>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"/>
    <numFmt numFmtId="167" formatCode="dd/mm/yyyy"/>
    <numFmt numFmtId="168" formatCode="#,##0.00&quot; €&quot;;\-#,##0.00&quot; €&quot;;\-"/>
    <numFmt numFmtId="169" formatCode="0;\-0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Neto mensual por socia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'Resumen mensual'!H5</c:f>
              <c:strCache>
                <c:ptCount val="1"/>
                <c:pt idx="0">
                  <c:v>Neto Socia 1 (€)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mensual'!$A$6:$A$17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'Resumen mensual'!$H$6:$H$17</c:f>
              <c:numCache>
                <c:formatCode>#,##0.00" €";\-#,##0.00" €";\-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850</c:v>
                </c:pt>
                <c:pt idx="9">
                  <c:v>1487.5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'Resumen mensual'!I5</c:f>
              <c:strCache>
                <c:ptCount val="1"/>
                <c:pt idx="0">
                  <c:v>Neto Socia 2 (€)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mensual'!$A$6:$A$17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'Resumen mensual'!$I$6:$I$17</c:f>
              <c:numCache>
                <c:formatCode>#,##0.00" €";\-#,##0.00" €";\-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850</c:v>
                </c:pt>
                <c:pt idx="9">
                  <c:v>1487.5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50789036"/>
        <c:axId val="81926209"/>
      </c:barChart>
      <c:catAx>
        <c:axId val="507890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26209"/>
        <c:crosses val="autoZero"/>
        <c:auto val="1"/>
        <c:lblAlgn val="ctr"/>
        <c:lblOffset val="100"/>
        <c:noMultiLvlLbl val="0"/>
      </c:catAx>
      <c:valAx>
        <c:axId val="819262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;\-#,##0.00&quot; €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890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Base imponible e IVA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'Resumen mensual'!C5</c:f>
              <c:strCache>
                <c:ptCount val="1"/>
                <c:pt idx="0">
                  <c:v>Base imponible (€)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mensual'!$A$6:$A$17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'Resumen mensual'!$C$6:$C$17</c:f>
              <c:numCache>
                <c:formatCode>#,##0.00" €";\-#,##0.00" €";\-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2000</c:v>
                </c:pt>
                <c:pt idx="9">
                  <c:v>3500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'Resumen mensual'!D5</c:f>
              <c:strCache>
                <c:ptCount val="1"/>
                <c:pt idx="0">
                  <c:v>IVA (€)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mensual'!$A$6:$A$17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'Resumen mensual'!$D$6:$D$17</c:f>
              <c:numCache>
                <c:formatCode>#,##0.00" €";\-#,##0.00" €";\-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420</c:v>
                </c:pt>
                <c:pt idx="9">
                  <c:v>735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100"/>
        <c:axId val="22119034"/>
        <c:axId val="67996513"/>
      </c:barChart>
      <c:catAx>
        <c:axId val="221190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996513"/>
        <c:crosses val="autoZero"/>
        <c:auto val="1"/>
        <c:lblAlgn val="ctr"/>
        <c:lblOffset val="100"/>
        <c:noMultiLvlLbl val="0"/>
      </c:catAx>
      <c:valAx>
        <c:axId val="679965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;\-#,##0.00&quot; €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190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3</xdr:row>
      <xdr:rowOff>131040</xdr:rowOff>
    </xdr:from>
    <xdr:to>
      <xdr:col>24</xdr:col>
      <xdr:colOff>581760</xdr:colOff>
      <xdr:row>18</xdr:row>
      <xdr:rowOff>170280</xdr:rowOff>
    </xdr:to>
    <xdr:graphicFrame>
      <xdr:nvGraphicFramePr>
        <xdr:cNvPr id="0" name="Chart 1"/>
        <xdr:cNvGraphicFramePr/>
      </xdr:nvGraphicFramePr>
      <xdr:xfrm>
        <a:off x="11818800" y="76212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22</xdr:row>
      <xdr:rowOff>459000</xdr:rowOff>
    </xdr:from>
    <xdr:to>
      <xdr:col>24</xdr:col>
      <xdr:colOff>581760</xdr:colOff>
      <xdr:row>39</xdr:row>
      <xdr:rowOff>117360</xdr:rowOff>
    </xdr:to>
    <xdr:graphicFrame>
      <xdr:nvGraphicFramePr>
        <xdr:cNvPr id="1" name="Chart 2"/>
        <xdr:cNvGraphicFramePr/>
      </xdr:nvGraphicFramePr>
      <xdr:xfrm>
        <a:off x="11818800" y="506736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5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/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3" t="s">
        <v>12</v>
      </c>
    </row>
    <row r="17" customFormat="false" ht="15" hidden="false" customHeight="false" outlineLevel="0" collapsed="false">
      <c r="B17" s="3" t="s">
        <v>13</v>
      </c>
    </row>
    <row r="18" customFormat="false" ht="15" hidden="false" customHeight="false" outlineLevel="0" collapsed="false">
      <c r="B18" s="3" t="s">
        <v>14</v>
      </c>
    </row>
    <row r="19" customFormat="false" ht="15" hidden="false" customHeight="false" outlineLevel="0" collapsed="false">
      <c r="B19" s="3"/>
    </row>
    <row r="20" customFormat="false" ht="15" hidden="false" customHeight="false" outlineLevel="0" collapsed="false">
      <c r="B20" s="2" t="s">
        <v>15</v>
      </c>
    </row>
    <row r="21" customFormat="false" ht="15" hidden="false" customHeight="false" outlineLevel="0" collapsed="false">
      <c r="B21" s="4" t="s">
        <v>16</v>
      </c>
    </row>
    <row r="22" customFormat="false" ht="15" hidden="false" customHeight="false" outlineLevel="0" collapsed="false">
      <c r="B22" s="5" t="s">
        <v>17</v>
      </c>
    </row>
    <row r="23" customFormat="false" ht="15" hidden="false" customHeight="false" outlineLevel="0" collapsed="false">
      <c r="B23" s="6" t="s">
        <v>18</v>
      </c>
    </row>
    <row r="24" customFormat="false" ht="15" hidden="false" customHeight="false" outlineLevel="0" collapsed="false">
      <c r="B24" s="3"/>
    </row>
    <row r="25" customFormat="false" ht="15" hidden="false" customHeight="false" outlineLevel="0" collapsed="false">
      <c r="B25" s="3" t="s">
        <v>19</v>
      </c>
    </row>
    <row r="26" customFormat="false" ht="15" hidden="false" customHeight="false" outlineLevel="0" collapsed="false">
      <c r="B26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9.7" hidden="false" customHeight="false" outlineLevel="0" collapsed="false">
      <c r="A1" s="1" t="s">
        <v>21</v>
      </c>
    </row>
    <row r="3" customFormat="false" ht="19.5" hidden="false" customHeight="true" outlineLevel="0" collapsed="false">
      <c r="A3" s="7" t="s">
        <v>22</v>
      </c>
      <c r="B3" s="7" t="s">
        <v>23</v>
      </c>
      <c r="C3" s="7" t="s">
        <v>24</v>
      </c>
    </row>
    <row r="4" customFormat="false" ht="15" hidden="false" customHeight="false" outlineLevel="0" collapsed="false">
      <c r="A4" s="8" t="s">
        <v>25</v>
      </c>
      <c r="B4" s="9" t="s">
        <v>25</v>
      </c>
      <c r="C4" s="10" t="n">
        <v>0.5</v>
      </c>
      <c r="D4" s="11" t="s">
        <v>26</v>
      </c>
    </row>
    <row r="5" customFormat="false" ht="15" hidden="false" customHeight="false" outlineLevel="0" collapsed="false">
      <c r="A5" s="8" t="s">
        <v>27</v>
      </c>
      <c r="B5" s="9" t="s">
        <v>27</v>
      </c>
      <c r="C5" s="12" t="n">
        <f aca="false">1-C4</f>
        <v>0.5</v>
      </c>
    </row>
    <row r="7" customFormat="false" ht="19.5" hidden="false" customHeight="true" outlineLevel="0" collapsed="false">
      <c r="A7" s="7" t="s">
        <v>28</v>
      </c>
      <c r="B7" s="7" t="s">
        <v>29</v>
      </c>
    </row>
    <row r="8" customFormat="false" ht="15" hidden="false" customHeight="false" outlineLevel="0" collapsed="false">
      <c r="A8" s="8" t="s">
        <v>30</v>
      </c>
      <c r="B8" s="10" t="n">
        <v>0.21</v>
      </c>
      <c r="C8" s="11" t="s">
        <v>31</v>
      </c>
    </row>
    <row r="9" customFormat="false" ht="15" hidden="false" customHeight="false" outlineLevel="0" collapsed="false">
      <c r="A9" s="8" t="s">
        <v>32</v>
      </c>
      <c r="B9" s="10" t="n">
        <v>0.15</v>
      </c>
      <c r="C9" s="11" t="s">
        <v>33</v>
      </c>
    </row>
    <row r="10" customFormat="false" ht="15" hidden="false" customHeight="false" outlineLevel="0" collapsed="false">
      <c r="A10" s="8" t="s">
        <v>34</v>
      </c>
      <c r="B10" s="9" t="s">
        <v>35</v>
      </c>
      <c r="C10" s="11" t="s">
        <v>36</v>
      </c>
    </row>
    <row r="12" customFormat="false" ht="19.5" hidden="false" customHeight="true" outlineLevel="0" collapsed="false">
      <c r="A12" s="7" t="s">
        <v>37</v>
      </c>
      <c r="B12" s="7" t="s">
        <v>38</v>
      </c>
    </row>
    <row r="13" customFormat="false" ht="15" hidden="false" customHeight="false" outlineLevel="0" collapsed="false">
      <c r="A13" s="8" t="s">
        <v>39</v>
      </c>
      <c r="B13" s="13" t="n">
        <v>2026</v>
      </c>
    </row>
    <row r="15" customFormat="false" ht="19.5" hidden="false" customHeight="true" outlineLevel="0" collapsed="false">
      <c r="A15" s="7" t="s">
        <v>40</v>
      </c>
      <c r="C15" s="7" t="s">
        <v>41</v>
      </c>
    </row>
    <row r="16" customFormat="false" ht="15" hidden="false" customHeight="false" outlineLevel="0" collapsed="false">
      <c r="A16" s="14" t="s">
        <v>42</v>
      </c>
      <c r="C16" s="14" t="s">
        <v>43</v>
      </c>
    </row>
    <row r="17" customFormat="false" ht="15" hidden="false" customHeight="false" outlineLevel="0" collapsed="false">
      <c r="A17" s="14" t="s">
        <v>44</v>
      </c>
      <c r="C17" s="14" t="s">
        <v>45</v>
      </c>
    </row>
    <row r="18" customFormat="false" ht="15" hidden="false" customHeight="false" outlineLevel="0" collapsed="false">
      <c r="A18" s="14" t="s">
        <v>46</v>
      </c>
      <c r="C18" s="14" t="s">
        <v>47</v>
      </c>
    </row>
    <row r="19" customFormat="false" ht="15" hidden="false" customHeight="false" outlineLevel="0" collapsed="false">
      <c r="A19" s="14" t="s">
        <v>48</v>
      </c>
      <c r="C19" s="14"/>
    </row>
    <row r="20" customFormat="false" ht="15" hidden="false" customHeight="false" outlineLevel="0" collapsed="false">
      <c r="A20" s="14"/>
    </row>
    <row r="21" customFormat="false" ht="15" hidden="false" customHeight="false" outlineLevel="0" collapsed="false">
      <c r="A21" s="14"/>
    </row>
    <row r="22" customFormat="false" ht="15" hidden="false" customHeight="false" outlineLevel="0" collapsed="false">
      <c r="A22" s="14"/>
    </row>
    <row r="23" customFormat="false" ht="15" hidden="false" customHeight="false" outlineLevel="0" collapsed="false">
      <c r="A23" s="14"/>
    </row>
    <row r="24" customFormat="false" ht="15" hidden="false" customHeight="false" outlineLevel="0" collapsed="false">
      <c r="A24" s="14"/>
    </row>
    <row r="25" customFormat="false" ht="15" hidden="false" customHeight="false" outlineLevel="0" collapsed="false">
      <c r="A25" s="14"/>
    </row>
    <row r="26" customFormat="false" ht="15" hidden="false" customHeight="false" outlineLevel="0" collapsed="false">
      <c r="A26" s="14"/>
    </row>
    <row r="27" customFormat="false" ht="15" hidden="false" customHeight="false" outlineLevel="0" collapsed="false">
      <c r="A27" s="14"/>
    </row>
    <row r="28" customFormat="false" ht="15" hidden="false" customHeight="false" outlineLevel="0" collapsed="false">
      <c r="A28" s="14"/>
    </row>
    <row r="29" customFormat="false" ht="15" hidden="false" customHeight="false" outlineLevel="0" collapsed="false">
      <c r="A29" s="14"/>
    </row>
    <row r="30" customFormat="false" ht="15" hidden="false" customHeight="false" outlineLevel="0" collapsed="false">
      <c r="A30" s="14"/>
    </row>
    <row r="31" customFormat="false" ht="15" hidden="false" customHeight="false" outlineLevel="0" collapsed="false">
      <c r="A31" s="14"/>
    </row>
    <row r="32" customFormat="false" ht="15" hidden="false" customHeight="false" outlineLevel="0" collapsed="false">
      <c r="A32" s="14"/>
    </row>
    <row r="33" customFormat="false" ht="15" hidden="false" customHeight="false" outlineLevel="0" collapsed="false">
      <c r="A33" s="14"/>
    </row>
    <row r="34" customFormat="false" ht="15" hidden="false" customHeight="false" outlineLevel="0" collapsed="false">
      <c r="A34" s="14"/>
    </row>
    <row r="35" customFormat="false" ht="15" hidden="false" customHeight="false" outlineLevel="0" collapsed="false">
      <c r="A35" s="14"/>
    </row>
    <row r="36" customFormat="false" ht="15" hidden="false" customHeight="false" outlineLevel="0" collapsed="false">
      <c r="A36" s="14"/>
    </row>
    <row r="37" customFormat="false" ht="15" hidden="false" customHeight="false" outlineLevel="0" collapsed="false">
      <c r="A37" s="14"/>
    </row>
    <row r="38" customFormat="false" ht="15" hidden="false" customHeight="false" outlineLevel="0" collapsed="false">
      <c r="A38" s="14"/>
    </row>
    <row r="39" customFormat="false" ht="15" hidden="false" customHeight="false" outlineLevel="0" collapsed="false">
      <c r="A39" s="14"/>
    </row>
    <row r="40" customFormat="false" ht="15" hidden="false" customHeight="false" outlineLevel="0" collapsed="false">
      <c r="A40" s="14"/>
    </row>
    <row r="41" customFormat="false" ht="15" hidden="false" customHeight="false" outlineLevel="0" collapsed="false">
      <c r="A41" s="14"/>
    </row>
    <row r="42" customFormat="false" ht="15" hidden="false" customHeight="false" outlineLevel="0" collapsed="false">
      <c r="A42" s="14"/>
    </row>
    <row r="43" customFormat="false" ht="15" hidden="false" customHeight="false" outlineLevel="0" collapsed="false">
      <c r="A43" s="14"/>
    </row>
    <row r="44" customFormat="false" ht="15" hidden="false" customHeight="false" outlineLevel="0" collapsed="false">
      <c r="A44" s="14"/>
    </row>
    <row r="45" customFormat="false" ht="15" hidden="false" customHeight="false" outlineLevel="0" collapsed="false">
      <c r="A45" s="14"/>
    </row>
  </sheetData>
  <dataValidations count="2">
    <dataValidation allowBlank="false" errorStyle="stop" operator="between" showDropDown="false" showErrorMessage="false" showInputMessage="false" sqref="B10" type="list">
      <formula1>"Sí,No"</formula1>
      <formula2>0</formula2>
    </dataValidation>
    <dataValidation allowBlank="false" error="Escribe un porcentaje entre 0 % y 100 %" errorStyle="stop" operator="between" showDropDown="false" showErrorMessage="true" showInputMessage="false" sqref="C4 B8:B9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4"/>
  </cols>
  <sheetData>
    <row r="1" customFormat="false" ht="31.5" hidden="false" customHeight="true" outlineLevel="0" collapsed="false">
      <c r="A1" s="7" t="s">
        <v>49</v>
      </c>
      <c r="B1" s="7" t="s">
        <v>50</v>
      </c>
      <c r="C1" s="7" t="s">
        <v>51</v>
      </c>
      <c r="D1" s="7" t="s">
        <v>52</v>
      </c>
      <c r="E1" s="7" t="s">
        <v>53</v>
      </c>
      <c r="F1" s="7" t="s">
        <v>54</v>
      </c>
      <c r="G1" s="7" t="s">
        <v>55</v>
      </c>
      <c r="H1" s="7" t="s">
        <v>56</v>
      </c>
      <c r="I1" s="7" t="s">
        <v>57</v>
      </c>
      <c r="J1" s="7" t="s">
        <v>58</v>
      </c>
      <c r="K1" s="7" t="str">
        <f aca="false">"Neto "&amp;Configuración!$B$4</f>
        <v>Neto Socia 1</v>
      </c>
      <c r="L1" s="7" t="str">
        <f aca="false">"Neto "&amp;Configuración!$B$5</f>
        <v>Neto Socia 2</v>
      </c>
    </row>
    <row r="2" customFormat="false" ht="15" hidden="false" customHeight="false" outlineLevel="0" collapsed="false">
      <c r="A2" s="15" t="n">
        <v>46266</v>
      </c>
      <c r="B2" s="14" t="s">
        <v>42</v>
      </c>
      <c r="C2" s="14" t="s">
        <v>59</v>
      </c>
      <c r="D2" s="16" t="n">
        <v>1200</v>
      </c>
      <c r="E2" s="14" t="s">
        <v>43</v>
      </c>
      <c r="F2" s="17" t="n">
        <f aca="false">IF($D2="","",IF(Configuración!$B$10="Sí",$D2/(1+Configuración!$B$8),$D2))</f>
        <v>1200</v>
      </c>
      <c r="G2" s="17" t="n">
        <f aca="false">IF($D2="","",F2*Configuración!$B$8)</f>
        <v>252</v>
      </c>
      <c r="H2" s="17" t="n">
        <f aca="false">IF($D2="","",F2+G2)</f>
        <v>1452</v>
      </c>
      <c r="I2" s="17" t="n">
        <f aca="false">IF($D2="","",F2*Configuración!$B$9)</f>
        <v>180</v>
      </c>
      <c r="J2" s="17" t="n">
        <f aca="false">IF($D2="","",F2-I2)</f>
        <v>1020</v>
      </c>
      <c r="K2" s="17" t="n">
        <f aca="false">IF($D2="","",J2*Configuración!$C$4)</f>
        <v>510</v>
      </c>
      <c r="L2" s="17" t="n">
        <f aca="false">IF($D2="","",J2*Configuración!$C$5)</f>
        <v>510</v>
      </c>
    </row>
    <row r="3" customFormat="false" ht="15" hidden="false" customHeight="false" outlineLevel="0" collapsed="false">
      <c r="A3" s="15" t="n">
        <v>46270</v>
      </c>
      <c r="B3" s="14" t="s">
        <v>44</v>
      </c>
      <c r="C3" s="14" t="s">
        <v>60</v>
      </c>
      <c r="D3" s="16" t="n">
        <v>800</v>
      </c>
      <c r="E3" s="14" t="s">
        <v>45</v>
      </c>
      <c r="F3" s="17" t="n">
        <f aca="false">IF($D3="","",IF(Configuración!$B$10="Sí",$D3/(1+Configuración!$B$8),$D3))</f>
        <v>800</v>
      </c>
      <c r="G3" s="17" t="n">
        <f aca="false">IF($D3="","",F3*Configuración!$B$8)</f>
        <v>168</v>
      </c>
      <c r="H3" s="17" t="n">
        <f aca="false">IF($D3="","",F3+G3)</f>
        <v>968</v>
      </c>
      <c r="I3" s="17" t="n">
        <f aca="false">IF($D3="","",F3*Configuración!$B$9)</f>
        <v>120</v>
      </c>
      <c r="J3" s="17" t="n">
        <f aca="false">IF($D3="","",F3-I3)</f>
        <v>680</v>
      </c>
      <c r="K3" s="17" t="n">
        <f aca="false">IF($D3="","",J3*Configuración!$C$4)</f>
        <v>340</v>
      </c>
      <c r="L3" s="17" t="n">
        <f aca="false">IF($D3="","",J3*Configuración!$C$5)</f>
        <v>340</v>
      </c>
    </row>
    <row r="4" customFormat="false" ht="15" hidden="false" customHeight="false" outlineLevel="0" collapsed="false">
      <c r="A4" s="15" t="n">
        <v>46296</v>
      </c>
      <c r="B4" s="14" t="s">
        <v>42</v>
      </c>
      <c r="C4" s="14" t="s">
        <v>61</v>
      </c>
      <c r="D4" s="16" t="n">
        <v>1200</v>
      </c>
      <c r="E4" s="14" t="s">
        <v>43</v>
      </c>
      <c r="F4" s="17" t="n">
        <f aca="false">IF($D4="","",IF(Configuración!$B$10="Sí",$D4/(1+Configuración!$B$8),$D4))</f>
        <v>1200</v>
      </c>
      <c r="G4" s="17" t="n">
        <f aca="false">IF($D4="","",F4*Configuración!$B$8)</f>
        <v>252</v>
      </c>
      <c r="H4" s="17" t="n">
        <f aca="false">IF($D4="","",F4+G4)</f>
        <v>1452</v>
      </c>
      <c r="I4" s="17" t="n">
        <f aca="false">IF($D4="","",F4*Configuración!$B$9)</f>
        <v>180</v>
      </c>
      <c r="J4" s="17" t="n">
        <f aca="false">IF($D4="","",F4-I4)</f>
        <v>1020</v>
      </c>
      <c r="K4" s="17" t="n">
        <f aca="false">IF($D4="","",J4*Configuración!$C$4)</f>
        <v>510</v>
      </c>
      <c r="L4" s="17" t="n">
        <f aca="false">IF($D4="","",J4*Configuración!$C$5)</f>
        <v>510</v>
      </c>
    </row>
    <row r="5" customFormat="false" ht="15" hidden="false" customHeight="false" outlineLevel="0" collapsed="false">
      <c r="A5" s="15" t="n">
        <v>46298</v>
      </c>
      <c r="B5" s="14" t="s">
        <v>44</v>
      </c>
      <c r="C5" s="14" t="s">
        <v>60</v>
      </c>
      <c r="D5" s="16" t="n">
        <v>800</v>
      </c>
      <c r="E5" s="14" t="s">
        <v>45</v>
      </c>
      <c r="F5" s="17" t="n">
        <f aca="false">IF($D5="","",IF(Configuración!$B$10="Sí",$D5/(1+Configuración!$B$8),$D5))</f>
        <v>800</v>
      </c>
      <c r="G5" s="17" t="n">
        <f aca="false">IF($D5="","",F5*Configuración!$B$8)</f>
        <v>168</v>
      </c>
      <c r="H5" s="17" t="n">
        <f aca="false">IF($D5="","",F5+G5)</f>
        <v>968</v>
      </c>
      <c r="I5" s="17" t="n">
        <f aca="false">IF($D5="","",F5*Configuración!$B$9)</f>
        <v>120</v>
      </c>
      <c r="J5" s="17" t="n">
        <f aca="false">IF($D5="","",F5-I5)</f>
        <v>680</v>
      </c>
      <c r="K5" s="17" t="n">
        <f aca="false">IF($D5="","",J5*Configuración!$C$4)</f>
        <v>340</v>
      </c>
      <c r="L5" s="17" t="n">
        <f aca="false">IF($D5="","",J5*Configuración!$C$5)</f>
        <v>340</v>
      </c>
    </row>
    <row r="6" customFormat="false" ht="15" hidden="false" customHeight="false" outlineLevel="0" collapsed="false">
      <c r="A6" s="15" t="n">
        <v>46305</v>
      </c>
      <c r="B6" s="14" t="s">
        <v>46</v>
      </c>
      <c r="C6" s="14" t="s">
        <v>62</v>
      </c>
      <c r="D6" s="16" t="n">
        <v>1500</v>
      </c>
      <c r="E6" s="14" t="s">
        <v>43</v>
      </c>
      <c r="F6" s="17" t="n">
        <f aca="false">IF($D6="","",IF(Configuración!$B$10="Sí",$D6/(1+Configuración!$B$8),$D6))</f>
        <v>1500</v>
      </c>
      <c r="G6" s="17" t="n">
        <f aca="false">IF($D6="","",F6*Configuración!$B$8)</f>
        <v>315</v>
      </c>
      <c r="H6" s="17" t="n">
        <f aca="false">IF($D6="","",F6+G6)</f>
        <v>1815</v>
      </c>
      <c r="I6" s="17" t="n">
        <f aca="false">IF($D6="","",F6*Configuración!$B$9)</f>
        <v>225</v>
      </c>
      <c r="J6" s="17" t="n">
        <f aca="false">IF($D6="","",F6-I6)</f>
        <v>1275</v>
      </c>
      <c r="K6" s="17" t="n">
        <f aca="false">IF($D6="","",J6*Configuración!$C$4)</f>
        <v>637.5</v>
      </c>
      <c r="L6" s="17" t="n">
        <f aca="false">IF($D6="","",J6*Configuración!$C$5)</f>
        <v>637.5</v>
      </c>
    </row>
    <row r="7" customFormat="false" ht="15" hidden="false" customHeight="false" outlineLevel="0" collapsed="false">
      <c r="A7" s="15"/>
      <c r="B7" s="14"/>
      <c r="C7" s="14"/>
      <c r="D7" s="16"/>
      <c r="E7" s="14"/>
      <c r="F7" s="17" t="str">
        <f aca="false">IF($D7="","",IF(Configuración!$B$10="Sí",$D7/(1+Configuración!$B$8),$D7))</f>
        <v/>
      </c>
      <c r="G7" s="17" t="str">
        <f aca="false">IF($D7="","",F7*Configuración!$B$8)</f>
        <v/>
      </c>
      <c r="H7" s="17" t="str">
        <f aca="false">IF($D7="","",F7+G7)</f>
        <v/>
      </c>
      <c r="I7" s="17" t="str">
        <f aca="false">IF($D7="","",F7*Configuración!$B$9)</f>
        <v/>
      </c>
      <c r="J7" s="17" t="str">
        <f aca="false">IF($D7="","",F7-I7)</f>
        <v/>
      </c>
      <c r="K7" s="17" t="str">
        <f aca="false">IF($D7="","",J7*Configuración!$C$4)</f>
        <v/>
      </c>
      <c r="L7" s="17" t="str">
        <f aca="false">IF($D7="","",J7*Configuración!$C$5)</f>
        <v/>
      </c>
    </row>
    <row r="8" customFormat="false" ht="15" hidden="false" customHeight="false" outlineLevel="0" collapsed="false">
      <c r="A8" s="15"/>
      <c r="B8" s="14"/>
      <c r="C8" s="14"/>
      <c r="D8" s="16"/>
      <c r="E8" s="14"/>
      <c r="F8" s="17" t="str">
        <f aca="false">IF($D8="","",IF(Configuración!$B$10="Sí",$D8/(1+Configuración!$B$8),$D8))</f>
        <v/>
      </c>
      <c r="G8" s="17" t="str">
        <f aca="false">IF($D8="","",F8*Configuración!$B$8)</f>
        <v/>
      </c>
      <c r="H8" s="17" t="str">
        <f aca="false">IF($D8="","",F8+G8)</f>
        <v/>
      </c>
      <c r="I8" s="17" t="str">
        <f aca="false">IF($D8="","",F8*Configuración!$B$9)</f>
        <v/>
      </c>
      <c r="J8" s="17" t="str">
        <f aca="false">IF($D8="","",F8-I8)</f>
        <v/>
      </c>
      <c r="K8" s="17" t="str">
        <f aca="false">IF($D8="","",J8*Configuración!$C$4)</f>
        <v/>
      </c>
      <c r="L8" s="17" t="str">
        <f aca="false">IF($D8="","",J8*Configuración!$C$5)</f>
        <v/>
      </c>
    </row>
    <row r="9" customFormat="false" ht="15" hidden="false" customHeight="false" outlineLevel="0" collapsed="false">
      <c r="A9" s="15"/>
      <c r="B9" s="14"/>
      <c r="C9" s="14"/>
      <c r="D9" s="16"/>
      <c r="E9" s="14"/>
      <c r="F9" s="17" t="str">
        <f aca="false">IF($D9="","",IF(Configuración!$B$10="Sí",$D9/(1+Configuración!$B$8),$D9))</f>
        <v/>
      </c>
      <c r="G9" s="17" t="str">
        <f aca="false">IF($D9="","",F9*Configuración!$B$8)</f>
        <v/>
      </c>
      <c r="H9" s="17" t="str">
        <f aca="false">IF($D9="","",F9+G9)</f>
        <v/>
      </c>
      <c r="I9" s="17" t="str">
        <f aca="false">IF($D9="","",F9*Configuración!$B$9)</f>
        <v/>
      </c>
      <c r="J9" s="17" t="str">
        <f aca="false">IF($D9="","",F9-I9)</f>
        <v/>
      </c>
      <c r="K9" s="17" t="str">
        <f aca="false">IF($D9="","",J9*Configuración!$C$4)</f>
        <v/>
      </c>
      <c r="L9" s="17" t="str">
        <f aca="false">IF($D9="","",J9*Configuración!$C$5)</f>
        <v/>
      </c>
    </row>
    <row r="10" customFormat="false" ht="15" hidden="false" customHeight="false" outlineLevel="0" collapsed="false">
      <c r="A10" s="15"/>
      <c r="B10" s="14"/>
      <c r="C10" s="14"/>
      <c r="D10" s="16"/>
      <c r="E10" s="14"/>
      <c r="F10" s="17" t="str">
        <f aca="false">IF($D10="","",IF(Configuración!$B$10="Sí",$D10/(1+Configuración!$B$8),$D10))</f>
        <v/>
      </c>
      <c r="G10" s="17" t="str">
        <f aca="false">IF($D10="","",F10*Configuración!$B$8)</f>
        <v/>
      </c>
      <c r="H10" s="17" t="str">
        <f aca="false">IF($D10="","",F10+G10)</f>
        <v/>
      </c>
      <c r="I10" s="17" t="str">
        <f aca="false">IF($D10="","",F10*Configuración!$B$9)</f>
        <v/>
      </c>
      <c r="J10" s="17" t="str">
        <f aca="false">IF($D10="","",F10-I10)</f>
        <v/>
      </c>
      <c r="K10" s="17" t="str">
        <f aca="false">IF($D10="","",J10*Configuración!$C$4)</f>
        <v/>
      </c>
      <c r="L10" s="17" t="str">
        <f aca="false">IF($D10="","",J10*Configuración!$C$5)</f>
        <v/>
      </c>
    </row>
    <row r="11" customFormat="false" ht="15" hidden="false" customHeight="false" outlineLevel="0" collapsed="false">
      <c r="A11" s="15"/>
      <c r="B11" s="14"/>
      <c r="C11" s="14"/>
      <c r="D11" s="16"/>
      <c r="E11" s="14"/>
      <c r="F11" s="17" t="str">
        <f aca="false">IF($D11="","",IF(Configuración!$B$10="Sí",$D11/(1+Configuración!$B$8),$D11))</f>
        <v/>
      </c>
      <c r="G11" s="17" t="str">
        <f aca="false">IF($D11="","",F11*Configuración!$B$8)</f>
        <v/>
      </c>
      <c r="H11" s="17" t="str">
        <f aca="false">IF($D11="","",F11+G11)</f>
        <v/>
      </c>
      <c r="I11" s="17" t="str">
        <f aca="false">IF($D11="","",F11*Configuración!$B$9)</f>
        <v/>
      </c>
      <c r="J11" s="17" t="str">
        <f aca="false">IF($D11="","",F11-I11)</f>
        <v/>
      </c>
      <c r="K11" s="17" t="str">
        <f aca="false">IF($D11="","",J11*Configuración!$C$4)</f>
        <v/>
      </c>
      <c r="L11" s="17" t="str">
        <f aca="false">IF($D11="","",J11*Configuración!$C$5)</f>
        <v/>
      </c>
    </row>
    <row r="12" customFormat="false" ht="15" hidden="false" customHeight="false" outlineLevel="0" collapsed="false">
      <c r="A12" s="15"/>
      <c r="B12" s="14"/>
      <c r="C12" s="14"/>
      <c r="D12" s="16"/>
      <c r="E12" s="14"/>
      <c r="F12" s="17" t="str">
        <f aca="false">IF($D12="","",IF(Configuración!$B$10="Sí",$D12/(1+Configuración!$B$8),$D12))</f>
        <v/>
      </c>
      <c r="G12" s="17" t="str">
        <f aca="false">IF($D12="","",F12*Configuración!$B$8)</f>
        <v/>
      </c>
      <c r="H12" s="17" t="str">
        <f aca="false">IF($D12="","",F12+G12)</f>
        <v/>
      </c>
      <c r="I12" s="17" t="str">
        <f aca="false">IF($D12="","",F12*Configuración!$B$9)</f>
        <v/>
      </c>
      <c r="J12" s="17" t="str">
        <f aca="false">IF($D12="","",F12-I12)</f>
        <v/>
      </c>
      <c r="K12" s="17" t="str">
        <f aca="false">IF($D12="","",J12*Configuración!$C$4)</f>
        <v/>
      </c>
      <c r="L12" s="17" t="str">
        <f aca="false">IF($D12="","",J12*Configuración!$C$5)</f>
        <v/>
      </c>
    </row>
    <row r="13" customFormat="false" ht="15" hidden="false" customHeight="false" outlineLevel="0" collapsed="false">
      <c r="A13" s="15"/>
      <c r="B13" s="14"/>
      <c r="C13" s="14"/>
      <c r="D13" s="16"/>
      <c r="E13" s="14"/>
      <c r="F13" s="17" t="str">
        <f aca="false">IF($D13="","",IF(Configuración!$B$10="Sí",$D13/(1+Configuración!$B$8),$D13))</f>
        <v/>
      </c>
      <c r="G13" s="17" t="str">
        <f aca="false">IF($D13="","",F13*Configuración!$B$8)</f>
        <v/>
      </c>
      <c r="H13" s="17" t="str">
        <f aca="false">IF($D13="","",F13+G13)</f>
        <v/>
      </c>
      <c r="I13" s="17" t="str">
        <f aca="false">IF($D13="","",F13*Configuración!$B$9)</f>
        <v/>
      </c>
      <c r="J13" s="17" t="str">
        <f aca="false">IF($D13="","",F13-I13)</f>
        <v/>
      </c>
      <c r="K13" s="17" t="str">
        <f aca="false">IF($D13="","",J13*Configuración!$C$4)</f>
        <v/>
      </c>
      <c r="L13" s="17" t="str">
        <f aca="false">IF($D13="","",J13*Configuración!$C$5)</f>
        <v/>
      </c>
    </row>
    <row r="14" customFormat="false" ht="15" hidden="false" customHeight="false" outlineLevel="0" collapsed="false">
      <c r="A14" s="15"/>
      <c r="B14" s="14"/>
      <c r="C14" s="14"/>
      <c r="D14" s="16"/>
      <c r="E14" s="14"/>
      <c r="F14" s="17" t="str">
        <f aca="false">IF($D14="","",IF(Configuración!$B$10="Sí",$D14/(1+Configuración!$B$8),$D14))</f>
        <v/>
      </c>
      <c r="G14" s="17" t="str">
        <f aca="false">IF($D14="","",F14*Configuración!$B$8)</f>
        <v/>
      </c>
      <c r="H14" s="17" t="str">
        <f aca="false">IF($D14="","",F14+G14)</f>
        <v/>
      </c>
      <c r="I14" s="17" t="str">
        <f aca="false">IF($D14="","",F14*Configuración!$B$9)</f>
        <v/>
      </c>
      <c r="J14" s="17" t="str">
        <f aca="false">IF($D14="","",F14-I14)</f>
        <v/>
      </c>
      <c r="K14" s="17" t="str">
        <f aca="false">IF($D14="","",J14*Configuración!$C$4)</f>
        <v/>
      </c>
      <c r="L14" s="17" t="str">
        <f aca="false">IF($D14="","",J14*Configuración!$C$5)</f>
        <v/>
      </c>
    </row>
    <row r="15" customFormat="false" ht="15" hidden="false" customHeight="false" outlineLevel="0" collapsed="false">
      <c r="A15" s="15"/>
      <c r="B15" s="14"/>
      <c r="C15" s="14"/>
      <c r="D15" s="16"/>
      <c r="E15" s="14"/>
      <c r="F15" s="17" t="str">
        <f aca="false">IF($D15="","",IF(Configuración!$B$10="Sí",$D15/(1+Configuración!$B$8),$D15))</f>
        <v/>
      </c>
      <c r="G15" s="17" t="str">
        <f aca="false">IF($D15="","",F15*Configuración!$B$8)</f>
        <v/>
      </c>
      <c r="H15" s="17" t="str">
        <f aca="false">IF($D15="","",F15+G15)</f>
        <v/>
      </c>
      <c r="I15" s="17" t="str">
        <f aca="false">IF($D15="","",F15*Configuración!$B$9)</f>
        <v/>
      </c>
      <c r="J15" s="17" t="str">
        <f aca="false">IF($D15="","",F15-I15)</f>
        <v/>
      </c>
      <c r="K15" s="17" t="str">
        <f aca="false">IF($D15="","",J15*Configuración!$C$4)</f>
        <v/>
      </c>
      <c r="L15" s="17" t="str">
        <f aca="false">IF($D15="","",J15*Configuración!$C$5)</f>
        <v/>
      </c>
    </row>
    <row r="16" customFormat="false" ht="15" hidden="false" customHeight="false" outlineLevel="0" collapsed="false">
      <c r="A16" s="15"/>
      <c r="B16" s="14"/>
      <c r="C16" s="14"/>
      <c r="D16" s="16"/>
      <c r="E16" s="14"/>
      <c r="F16" s="17" t="str">
        <f aca="false">IF($D16="","",IF(Configuración!$B$10="Sí",$D16/(1+Configuración!$B$8),$D16))</f>
        <v/>
      </c>
      <c r="G16" s="17" t="str">
        <f aca="false">IF($D16="","",F16*Configuración!$B$8)</f>
        <v/>
      </c>
      <c r="H16" s="17" t="str">
        <f aca="false">IF($D16="","",F16+G16)</f>
        <v/>
      </c>
      <c r="I16" s="17" t="str">
        <f aca="false">IF($D16="","",F16*Configuración!$B$9)</f>
        <v/>
      </c>
      <c r="J16" s="17" t="str">
        <f aca="false">IF($D16="","",F16-I16)</f>
        <v/>
      </c>
      <c r="K16" s="17" t="str">
        <f aca="false">IF($D16="","",J16*Configuración!$C$4)</f>
        <v/>
      </c>
      <c r="L16" s="17" t="str">
        <f aca="false">IF($D16="","",J16*Configuración!$C$5)</f>
        <v/>
      </c>
    </row>
    <row r="17" customFormat="false" ht="15" hidden="false" customHeight="false" outlineLevel="0" collapsed="false">
      <c r="A17" s="15"/>
      <c r="B17" s="14"/>
      <c r="C17" s="14"/>
      <c r="D17" s="16"/>
      <c r="E17" s="14"/>
      <c r="F17" s="17" t="str">
        <f aca="false">IF($D17="","",IF(Configuración!$B$10="Sí",$D17/(1+Configuración!$B$8),$D17))</f>
        <v/>
      </c>
      <c r="G17" s="17" t="str">
        <f aca="false">IF($D17="","",F17*Configuración!$B$8)</f>
        <v/>
      </c>
      <c r="H17" s="17" t="str">
        <f aca="false">IF($D17="","",F17+G17)</f>
        <v/>
      </c>
      <c r="I17" s="17" t="str">
        <f aca="false">IF($D17="","",F17*Configuración!$B$9)</f>
        <v/>
      </c>
      <c r="J17" s="17" t="str">
        <f aca="false">IF($D17="","",F17-I17)</f>
        <v/>
      </c>
      <c r="K17" s="17" t="str">
        <f aca="false">IF($D17="","",J17*Configuración!$C$4)</f>
        <v/>
      </c>
      <c r="L17" s="17" t="str">
        <f aca="false">IF($D17="","",J17*Configuración!$C$5)</f>
        <v/>
      </c>
    </row>
    <row r="18" customFormat="false" ht="15" hidden="false" customHeight="false" outlineLevel="0" collapsed="false">
      <c r="A18" s="15"/>
      <c r="B18" s="14"/>
      <c r="C18" s="14"/>
      <c r="D18" s="16"/>
      <c r="E18" s="14"/>
      <c r="F18" s="17" t="str">
        <f aca="false">IF($D18="","",IF(Configuración!$B$10="Sí",$D18/(1+Configuración!$B$8),$D18))</f>
        <v/>
      </c>
      <c r="G18" s="17" t="str">
        <f aca="false">IF($D18="","",F18*Configuración!$B$8)</f>
        <v/>
      </c>
      <c r="H18" s="17" t="str">
        <f aca="false">IF($D18="","",F18+G18)</f>
        <v/>
      </c>
      <c r="I18" s="17" t="str">
        <f aca="false">IF($D18="","",F18*Configuración!$B$9)</f>
        <v/>
      </c>
      <c r="J18" s="17" t="str">
        <f aca="false">IF($D18="","",F18-I18)</f>
        <v/>
      </c>
      <c r="K18" s="17" t="str">
        <f aca="false">IF($D18="","",J18*Configuración!$C$4)</f>
        <v/>
      </c>
      <c r="L18" s="17" t="str">
        <f aca="false">IF($D18="","",J18*Configuración!$C$5)</f>
        <v/>
      </c>
    </row>
    <row r="19" customFormat="false" ht="15" hidden="false" customHeight="false" outlineLevel="0" collapsed="false">
      <c r="A19" s="15"/>
      <c r="B19" s="14"/>
      <c r="C19" s="14"/>
      <c r="D19" s="16"/>
      <c r="E19" s="14"/>
      <c r="F19" s="17" t="str">
        <f aca="false">IF($D19="","",IF(Configuración!$B$10="Sí",$D19/(1+Configuración!$B$8),$D19))</f>
        <v/>
      </c>
      <c r="G19" s="17" t="str">
        <f aca="false">IF($D19="","",F19*Configuración!$B$8)</f>
        <v/>
      </c>
      <c r="H19" s="17" t="str">
        <f aca="false">IF($D19="","",F19+G19)</f>
        <v/>
      </c>
      <c r="I19" s="17" t="str">
        <f aca="false">IF($D19="","",F19*Configuración!$B$9)</f>
        <v/>
      </c>
      <c r="J19" s="17" t="str">
        <f aca="false">IF($D19="","",F19-I19)</f>
        <v/>
      </c>
      <c r="K19" s="17" t="str">
        <f aca="false">IF($D19="","",J19*Configuración!$C$4)</f>
        <v/>
      </c>
      <c r="L19" s="17" t="str">
        <f aca="false">IF($D19="","",J19*Configuración!$C$5)</f>
        <v/>
      </c>
    </row>
    <row r="20" customFormat="false" ht="15" hidden="false" customHeight="false" outlineLevel="0" collapsed="false">
      <c r="A20" s="15"/>
      <c r="B20" s="14"/>
      <c r="C20" s="14"/>
      <c r="D20" s="16"/>
      <c r="E20" s="14"/>
      <c r="F20" s="17" t="str">
        <f aca="false">IF($D20="","",IF(Configuración!$B$10="Sí",$D20/(1+Configuración!$B$8),$D20))</f>
        <v/>
      </c>
      <c r="G20" s="17" t="str">
        <f aca="false">IF($D20="","",F20*Configuración!$B$8)</f>
        <v/>
      </c>
      <c r="H20" s="17" t="str">
        <f aca="false">IF($D20="","",F20+G20)</f>
        <v/>
      </c>
      <c r="I20" s="17" t="str">
        <f aca="false">IF($D20="","",F20*Configuración!$B$9)</f>
        <v/>
      </c>
      <c r="J20" s="17" t="str">
        <f aca="false">IF($D20="","",F20-I20)</f>
        <v/>
      </c>
      <c r="K20" s="17" t="str">
        <f aca="false">IF($D20="","",J20*Configuración!$C$4)</f>
        <v/>
      </c>
      <c r="L20" s="17" t="str">
        <f aca="false">IF($D20="","",J20*Configuración!$C$5)</f>
        <v/>
      </c>
    </row>
    <row r="21" customFormat="false" ht="15" hidden="false" customHeight="false" outlineLevel="0" collapsed="false">
      <c r="A21" s="15"/>
      <c r="B21" s="14"/>
      <c r="C21" s="14"/>
      <c r="D21" s="16"/>
      <c r="E21" s="14"/>
      <c r="F21" s="17" t="str">
        <f aca="false">IF($D21="","",IF(Configuración!$B$10="Sí",$D21/(1+Configuración!$B$8),$D21))</f>
        <v/>
      </c>
      <c r="G21" s="17" t="str">
        <f aca="false">IF($D21="","",F21*Configuración!$B$8)</f>
        <v/>
      </c>
      <c r="H21" s="17" t="str">
        <f aca="false">IF($D21="","",F21+G21)</f>
        <v/>
      </c>
      <c r="I21" s="17" t="str">
        <f aca="false">IF($D21="","",F21*Configuración!$B$9)</f>
        <v/>
      </c>
      <c r="J21" s="17" t="str">
        <f aca="false">IF($D21="","",F21-I21)</f>
        <v/>
      </c>
      <c r="K21" s="17" t="str">
        <f aca="false">IF($D21="","",J21*Configuración!$C$4)</f>
        <v/>
      </c>
      <c r="L21" s="17" t="str">
        <f aca="false">IF($D21="","",J21*Configuración!$C$5)</f>
        <v/>
      </c>
    </row>
    <row r="22" customFormat="false" ht="15" hidden="false" customHeight="false" outlineLevel="0" collapsed="false">
      <c r="A22" s="15"/>
      <c r="B22" s="14"/>
      <c r="C22" s="14"/>
      <c r="D22" s="16"/>
      <c r="E22" s="14"/>
      <c r="F22" s="17" t="str">
        <f aca="false">IF($D22="","",IF(Configuración!$B$10="Sí",$D22/(1+Configuración!$B$8),$D22))</f>
        <v/>
      </c>
      <c r="G22" s="17" t="str">
        <f aca="false">IF($D22="","",F22*Configuración!$B$8)</f>
        <v/>
      </c>
      <c r="H22" s="17" t="str">
        <f aca="false">IF($D22="","",F22+G22)</f>
        <v/>
      </c>
      <c r="I22" s="17" t="str">
        <f aca="false">IF($D22="","",F22*Configuración!$B$9)</f>
        <v/>
      </c>
      <c r="J22" s="17" t="str">
        <f aca="false">IF($D22="","",F22-I22)</f>
        <v/>
      </c>
      <c r="K22" s="17" t="str">
        <f aca="false">IF($D22="","",J22*Configuración!$C$4)</f>
        <v/>
      </c>
      <c r="L22" s="17" t="str">
        <f aca="false">IF($D22="","",J22*Configuración!$C$5)</f>
        <v/>
      </c>
    </row>
    <row r="23" customFormat="false" ht="15" hidden="false" customHeight="false" outlineLevel="0" collapsed="false">
      <c r="A23" s="15"/>
      <c r="B23" s="14"/>
      <c r="C23" s="14"/>
      <c r="D23" s="16"/>
      <c r="E23" s="14"/>
      <c r="F23" s="17" t="str">
        <f aca="false">IF($D23="","",IF(Configuración!$B$10="Sí",$D23/(1+Configuración!$B$8),$D23))</f>
        <v/>
      </c>
      <c r="G23" s="17" t="str">
        <f aca="false">IF($D23="","",F23*Configuración!$B$8)</f>
        <v/>
      </c>
      <c r="H23" s="17" t="str">
        <f aca="false">IF($D23="","",F23+G23)</f>
        <v/>
      </c>
      <c r="I23" s="17" t="str">
        <f aca="false">IF($D23="","",F23*Configuración!$B$9)</f>
        <v/>
      </c>
      <c r="J23" s="17" t="str">
        <f aca="false">IF($D23="","",F23-I23)</f>
        <v/>
      </c>
      <c r="K23" s="17" t="str">
        <f aca="false">IF($D23="","",J23*Configuración!$C$4)</f>
        <v/>
      </c>
      <c r="L23" s="17" t="str">
        <f aca="false">IF($D23="","",J23*Configuración!$C$5)</f>
        <v/>
      </c>
    </row>
    <row r="24" customFormat="false" ht="15" hidden="false" customHeight="false" outlineLevel="0" collapsed="false">
      <c r="A24" s="15"/>
      <c r="B24" s="14"/>
      <c r="C24" s="14"/>
      <c r="D24" s="16"/>
      <c r="E24" s="14"/>
      <c r="F24" s="17" t="str">
        <f aca="false">IF($D24="","",IF(Configuración!$B$10="Sí",$D24/(1+Configuración!$B$8),$D24))</f>
        <v/>
      </c>
      <c r="G24" s="17" t="str">
        <f aca="false">IF($D24="","",F24*Configuración!$B$8)</f>
        <v/>
      </c>
      <c r="H24" s="17" t="str">
        <f aca="false">IF($D24="","",F24+G24)</f>
        <v/>
      </c>
      <c r="I24" s="17" t="str">
        <f aca="false">IF($D24="","",F24*Configuración!$B$9)</f>
        <v/>
      </c>
      <c r="J24" s="17" t="str">
        <f aca="false">IF($D24="","",F24-I24)</f>
        <v/>
      </c>
      <c r="K24" s="17" t="str">
        <f aca="false">IF($D24="","",J24*Configuración!$C$4)</f>
        <v/>
      </c>
      <c r="L24" s="17" t="str">
        <f aca="false">IF($D24="","",J24*Configuración!$C$5)</f>
        <v/>
      </c>
    </row>
    <row r="25" customFormat="false" ht="15" hidden="false" customHeight="false" outlineLevel="0" collapsed="false">
      <c r="A25" s="15"/>
      <c r="B25" s="14"/>
      <c r="C25" s="14"/>
      <c r="D25" s="16"/>
      <c r="E25" s="14"/>
      <c r="F25" s="17" t="str">
        <f aca="false">IF($D25="","",IF(Configuración!$B$10="Sí",$D25/(1+Configuración!$B$8),$D25))</f>
        <v/>
      </c>
      <c r="G25" s="17" t="str">
        <f aca="false">IF($D25="","",F25*Configuración!$B$8)</f>
        <v/>
      </c>
      <c r="H25" s="17" t="str">
        <f aca="false">IF($D25="","",F25+G25)</f>
        <v/>
      </c>
      <c r="I25" s="17" t="str">
        <f aca="false">IF($D25="","",F25*Configuración!$B$9)</f>
        <v/>
      </c>
      <c r="J25" s="17" t="str">
        <f aca="false">IF($D25="","",F25-I25)</f>
        <v/>
      </c>
      <c r="K25" s="17" t="str">
        <f aca="false">IF($D25="","",J25*Configuración!$C$4)</f>
        <v/>
      </c>
      <c r="L25" s="17" t="str">
        <f aca="false">IF($D25="","",J25*Configuración!$C$5)</f>
        <v/>
      </c>
    </row>
    <row r="26" customFormat="false" ht="15" hidden="false" customHeight="false" outlineLevel="0" collapsed="false">
      <c r="A26" s="15"/>
      <c r="B26" s="14"/>
      <c r="C26" s="14"/>
      <c r="D26" s="16"/>
      <c r="E26" s="14"/>
      <c r="F26" s="17" t="str">
        <f aca="false">IF($D26="","",IF(Configuración!$B$10="Sí",$D26/(1+Configuración!$B$8),$D26))</f>
        <v/>
      </c>
      <c r="G26" s="17" t="str">
        <f aca="false">IF($D26="","",F26*Configuración!$B$8)</f>
        <v/>
      </c>
      <c r="H26" s="17" t="str">
        <f aca="false">IF($D26="","",F26+G26)</f>
        <v/>
      </c>
      <c r="I26" s="17" t="str">
        <f aca="false">IF($D26="","",F26*Configuración!$B$9)</f>
        <v/>
      </c>
      <c r="J26" s="17" t="str">
        <f aca="false">IF($D26="","",F26-I26)</f>
        <v/>
      </c>
      <c r="K26" s="17" t="str">
        <f aca="false">IF($D26="","",J26*Configuración!$C$4)</f>
        <v/>
      </c>
      <c r="L26" s="17" t="str">
        <f aca="false">IF($D26="","",J26*Configuración!$C$5)</f>
        <v/>
      </c>
    </row>
    <row r="27" customFormat="false" ht="15" hidden="false" customHeight="false" outlineLevel="0" collapsed="false">
      <c r="A27" s="15"/>
      <c r="B27" s="14"/>
      <c r="C27" s="14"/>
      <c r="D27" s="16"/>
      <c r="E27" s="14"/>
      <c r="F27" s="17" t="str">
        <f aca="false">IF($D27="","",IF(Configuración!$B$10="Sí",$D27/(1+Configuración!$B$8),$D27))</f>
        <v/>
      </c>
      <c r="G27" s="17" t="str">
        <f aca="false">IF($D27="","",F27*Configuración!$B$8)</f>
        <v/>
      </c>
      <c r="H27" s="17" t="str">
        <f aca="false">IF($D27="","",F27+G27)</f>
        <v/>
      </c>
      <c r="I27" s="17" t="str">
        <f aca="false">IF($D27="","",F27*Configuración!$B$9)</f>
        <v/>
      </c>
      <c r="J27" s="17" t="str">
        <f aca="false">IF($D27="","",F27-I27)</f>
        <v/>
      </c>
      <c r="K27" s="17" t="str">
        <f aca="false">IF($D27="","",J27*Configuración!$C$4)</f>
        <v/>
      </c>
      <c r="L27" s="17" t="str">
        <f aca="false">IF($D27="","",J27*Configuración!$C$5)</f>
        <v/>
      </c>
    </row>
    <row r="28" customFormat="false" ht="15" hidden="false" customHeight="false" outlineLevel="0" collapsed="false">
      <c r="A28" s="15"/>
      <c r="B28" s="14"/>
      <c r="C28" s="14"/>
      <c r="D28" s="16"/>
      <c r="E28" s="14"/>
      <c r="F28" s="17" t="str">
        <f aca="false">IF($D28="","",IF(Configuración!$B$10="Sí",$D28/(1+Configuración!$B$8),$D28))</f>
        <v/>
      </c>
      <c r="G28" s="17" t="str">
        <f aca="false">IF($D28="","",F28*Configuración!$B$8)</f>
        <v/>
      </c>
      <c r="H28" s="17" t="str">
        <f aca="false">IF($D28="","",F28+G28)</f>
        <v/>
      </c>
      <c r="I28" s="17" t="str">
        <f aca="false">IF($D28="","",F28*Configuración!$B$9)</f>
        <v/>
      </c>
      <c r="J28" s="17" t="str">
        <f aca="false">IF($D28="","",F28-I28)</f>
        <v/>
      </c>
      <c r="K28" s="17" t="str">
        <f aca="false">IF($D28="","",J28*Configuración!$C$4)</f>
        <v/>
      </c>
      <c r="L28" s="17" t="str">
        <f aca="false">IF($D28="","",J28*Configuración!$C$5)</f>
        <v/>
      </c>
    </row>
    <row r="29" customFormat="false" ht="15" hidden="false" customHeight="false" outlineLevel="0" collapsed="false">
      <c r="A29" s="15"/>
      <c r="B29" s="14"/>
      <c r="C29" s="14"/>
      <c r="D29" s="16"/>
      <c r="E29" s="14"/>
      <c r="F29" s="17" t="str">
        <f aca="false">IF($D29="","",IF(Configuración!$B$10="Sí",$D29/(1+Configuración!$B$8),$D29))</f>
        <v/>
      </c>
      <c r="G29" s="17" t="str">
        <f aca="false">IF($D29="","",F29*Configuración!$B$8)</f>
        <v/>
      </c>
      <c r="H29" s="17" t="str">
        <f aca="false">IF($D29="","",F29+G29)</f>
        <v/>
      </c>
      <c r="I29" s="17" t="str">
        <f aca="false">IF($D29="","",F29*Configuración!$B$9)</f>
        <v/>
      </c>
      <c r="J29" s="17" t="str">
        <f aca="false">IF($D29="","",F29-I29)</f>
        <v/>
      </c>
      <c r="K29" s="17" t="str">
        <f aca="false">IF($D29="","",J29*Configuración!$C$4)</f>
        <v/>
      </c>
      <c r="L29" s="17" t="str">
        <f aca="false">IF($D29="","",J29*Configuración!$C$5)</f>
        <v/>
      </c>
    </row>
    <row r="30" customFormat="false" ht="15" hidden="false" customHeight="false" outlineLevel="0" collapsed="false">
      <c r="A30" s="15"/>
      <c r="B30" s="14"/>
      <c r="C30" s="14"/>
      <c r="D30" s="16"/>
      <c r="E30" s="14"/>
      <c r="F30" s="17" t="str">
        <f aca="false">IF($D30="","",IF(Configuración!$B$10="Sí",$D30/(1+Configuración!$B$8),$D30))</f>
        <v/>
      </c>
      <c r="G30" s="17" t="str">
        <f aca="false">IF($D30="","",F30*Configuración!$B$8)</f>
        <v/>
      </c>
      <c r="H30" s="17" t="str">
        <f aca="false">IF($D30="","",F30+G30)</f>
        <v/>
      </c>
      <c r="I30" s="17" t="str">
        <f aca="false">IF($D30="","",F30*Configuración!$B$9)</f>
        <v/>
      </c>
      <c r="J30" s="17" t="str">
        <f aca="false">IF($D30="","",F30-I30)</f>
        <v/>
      </c>
      <c r="K30" s="17" t="str">
        <f aca="false">IF($D30="","",J30*Configuración!$C$4)</f>
        <v/>
      </c>
      <c r="L30" s="17" t="str">
        <f aca="false">IF($D30="","",J30*Configuración!$C$5)</f>
        <v/>
      </c>
    </row>
    <row r="31" customFormat="false" ht="15" hidden="false" customHeight="false" outlineLevel="0" collapsed="false">
      <c r="A31" s="15"/>
      <c r="B31" s="14"/>
      <c r="C31" s="14"/>
      <c r="D31" s="16"/>
      <c r="E31" s="14"/>
      <c r="F31" s="17" t="str">
        <f aca="false">IF($D31="","",IF(Configuración!$B$10="Sí",$D31/(1+Configuración!$B$8),$D31))</f>
        <v/>
      </c>
      <c r="G31" s="17" t="str">
        <f aca="false">IF($D31="","",F31*Configuración!$B$8)</f>
        <v/>
      </c>
      <c r="H31" s="17" t="str">
        <f aca="false">IF($D31="","",F31+G31)</f>
        <v/>
      </c>
      <c r="I31" s="17" t="str">
        <f aca="false">IF($D31="","",F31*Configuración!$B$9)</f>
        <v/>
      </c>
      <c r="J31" s="17" t="str">
        <f aca="false">IF($D31="","",F31-I31)</f>
        <v/>
      </c>
      <c r="K31" s="17" t="str">
        <f aca="false">IF($D31="","",J31*Configuración!$C$4)</f>
        <v/>
      </c>
      <c r="L31" s="17" t="str">
        <f aca="false">IF($D31="","",J31*Configuración!$C$5)</f>
        <v/>
      </c>
    </row>
    <row r="32" customFormat="false" ht="15" hidden="false" customHeight="false" outlineLevel="0" collapsed="false">
      <c r="A32" s="15"/>
      <c r="B32" s="14"/>
      <c r="C32" s="14"/>
      <c r="D32" s="16"/>
      <c r="E32" s="14"/>
      <c r="F32" s="17" t="str">
        <f aca="false">IF($D32="","",IF(Configuración!$B$10="Sí",$D32/(1+Configuración!$B$8),$D32))</f>
        <v/>
      </c>
      <c r="G32" s="17" t="str">
        <f aca="false">IF($D32="","",F32*Configuración!$B$8)</f>
        <v/>
      </c>
      <c r="H32" s="17" t="str">
        <f aca="false">IF($D32="","",F32+G32)</f>
        <v/>
      </c>
      <c r="I32" s="17" t="str">
        <f aca="false">IF($D32="","",F32*Configuración!$B$9)</f>
        <v/>
      </c>
      <c r="J32" s="17" t="str">
        <f aca="false">IF($D32="","",F32-I32)</f>
        <v/>
      </c>
      <c r="K32" s="17" t="str">
        <f aca="false">IF($D32="","",J32*Configuración!$C$4)</f>
        <v/>
      </c>
      <c r="L32" s="17" t="str">
        <f aca="false">IF($D32="","",J32*Configuración!$C$5)</f>
        <v/>
      </c>
    </row>
    <row r="33" customFormat="false" ht="15" hidden="false" customHeight="false" outlineLevel="0" collapsed="false">
      <c r="A33" s="15"/>
      <c r="B33" s="14"/>
      <c r="C33" s="14"/>
      <c r="D33" s="16"/>
      <c r="E33" s="14"/>
      <c r="F33" s="17" t="str">
        <f aca="false">IF($D33="","",IF(Configuración!$B$10="Sí",$D33/(1+Configuración!$B$8),$D33))</f>
        <v/>
      </c>
      <c r="G33" s="17" t="str">
        <f aca="false">IF($D33="","",F33*Configuración!$B$8)</f>
        <v/>
      </c>
      <c r="H33" s="17" t="str">
        <f aca="false">IF($D33="","",F33+G33)</f>
        <v/>
      </c>
      <c r="I33" s="17" t="str">
        <f aca="false">IF($D33="","",F33*Configuración!$B$9)</f>
        <v/>
      </c>
      <c r="J33" s="17" t="str">
        <f aca="false">IF($D33="","",F33-I33)</f>
        <v/>
      </c>
      <c r="K33" s="17" t="str">
        <f aca="false">IF($D33="","",J33*Configuración!$C$4)</f>
        <v/>
      </c>
      <c r="L33" s="17" t="str">
        <f aca="false">IF($D33="","",J33*Configuración!$C$5)</f>
        <v/>
      </c>
    </row>
    <row r="34" customFormat="false" ht="15" hidden="false" customHeight="false" outlineLevel="0" collapsed="false">
      <c r="A34" s="15"/>
      <c r="B34" s="14"/>
      <c r="C34" s="14"/>
      <c r="D34" s="16"/>
      <c r="E34" s="14"/>
      <c r="F34" s="17" t="str">
        <f aca="false">IF($D34="","",IF(Configuración!$B$10="Sí",$D34/(1+Configuración!$B$8),$D34))</f>
        <v/>
      </c>
      <c r="G34" s="17" t="str">
        <f aca="false">IF($D34="","",F34*Configuración!$B$8)</f>
        <v/>
      </c>
      <c r="H34" s="17" t="str">
        <f aca="false">IF($D34="","",F34+G34)</f>
        <v/>
      </c>
      <c r="I34" s="17" t="str">
        <f aca="false">IF($D34="","",F34*Configuración!$B$9)</f>
        <v/>
      </c>
      <c r="J34" s="17" t="str">
        <f aca="false">IF($D34="","",F34-I34)</f>
        <v/>
      </c>
      <c r="K34" s="17" t="str">
        <f aca="false">IF($D34="","",J34*Configuración!$C$4)</f>
        <v/>
      </c>
      <c r="L34" s="17" t="str">
        <f aca="false">IF($D34="","",J34*Configuración!$C$5)</f>
        <v/>
      </c>
    </row>
    <row r="35" customFormat="false" ht="15" hidden="false" customHeight="false" outlineLevel="0" collapsed="false">
      <c r="A35" s="15"/>
      <c r="B35" s="14"/>
      <c r="C35" s="14"/>
      <c r="D35" s="16"/>
      <c r="E35" s="14"/>
      <c r="F35" s="17" t="str">
        <f aca="false">IF($D35="","",IF(Configuración!$B$10="Sí",$D35/(1+Configuración!$B$8),$D35))</f>
        <v/>
      </c>
      <c r="G35" s="17" t="str">
        <f aca="false">IF($D35="","",F35*Configuración!$B$8)</f>
        <v/>
      </c>
      <c r="H35" s="17" t="str">
        <f aca="false">IF($D35="","",F35+G35)</f>
        <v/>
      </c>
      <c r="I35" s="17" t="str">
        <f aca="false">IF($D35="","",F35*Configuración!$B$9)</f>
        <v/>
      </c>
      <c r="J35" s="17" t="str">
        <f aca="false">IF($D35="","",F35-I35)</f>
        <v/>
      </c>
      <c r="K35" s="17" t="str">
        <f aca="false">IF($D35="","",J35*Configuración!$C$4)</f>
        <v/>
      </c>
      <c r="L35" s="17" t="str">
        <f aca="false">IF($D35="","",J35*Configuración!$C$5)</f>
        <v/>
      </c>
    </row>
    <row r="36" customFormat="false" ht="15" hidden="false" customHeight="false" outlineLevel="0" collapsed="false">
      <c r="A36" s="15"/>
      <c r="B36" s="14"/>
      <c r="C36" s="14"/>
      <c r="D36" s="16"/>
      <c r="E36" s="14"/>
      <c r="F36" s="17" t="str">
        <f aca="false">IF($D36="","",IF(Configuración!$B$10="Sí",$D36/(1+Configuración!$B$8),$D36))</f>
        <v/>
      </c>
      <c r="G36" s="17" t="str">
        <f aca="false">IF($D36="","",F36*Configuración!$B$8)</f>
        <v/>
      </c>
      <c r="H36" s="17" t="str">
        <f aca="false">IF($D36="","",F36+G36)</f>
        <v/>
      </c>
      <c r="I36" s="17" t="str">
        <f aca="false">IF($D36="","",F36*Configuración!$B$9)</f>
        <v/>
      </c>
      <c r="J36" s="17" t="str">
        <f aca="false">IF($D36="","",F36-I36)</f>
        <v/>
      </c>
      <c r="K36" s="17" t="str">
        <f aca="false">IF($D36="","",J36*Configuración!$C$4)</f>
        <v/>
      </c>
      <c r="L36" s="17" t="str">
        <f aca="false">IF($D36="","",J36*Configuración!$C$5)</f>
        <v/>
      </c>
    </row>
    <row r="37" customFormat="false" ht="15" hidden="false" customHeight="false" outlineLevel="0" collapsed="false">
      <c r="A37" s="15"/>
      <c r="B37" s="14"/>
      <c r="C37" s="14"/>
      <c r="D37" s="16"/>
      <c r="E37" s="14"/>
      <c r="F37" s="17" t="str">
        <f aca="false">IF($D37="","",IF(Configuración!$B$10="Sí",$D37/(1+Configuración!$B$8),$D37))</f>
        <v/>
      </c>
      <c r="G37" s="17" t="str">
        <f aca="false">IF($D37="","",F37*Configuración!$B$8)</f>
        <v/>
      </c>
      <c r="H37" s="17" t="str">
        <f aca="false">IF($D37="","",F37+G37)</f>
        <v/>
      </c>
      <c r="I37" s="17" t="str">
        <f aca="false">IF($D37="","",F37*Configuración!$B$9)</f>
        <v/>
      </c>
      <c r="J37" s="17" t="str">
        <f aca="false">IF($D37="","",F37-I37)</f>
        <v/>
      </c>
      <c r="K37" s="17" t="str">
        <f aca="false">IF($D37="","",J37*Configuración!$C$4)</f>
        <v/>
      </c>
      <c r="L37" s="17" t="str">
        <f aca="false">IF($D37="","",J37*Configuración!$C$5)</f>
        <v/>
      </c>
    </row>
    <row r="38" customFormat="false" ht="15" hidden="false" customHeight="false" outlineLevel="0" collapsed="false">
      <c r="A38" s="15"/>
      <c r="B38" s="14"/>
      <c r="C38" s="14"/>
      <c r="D38" s="16"/>
      <c r="E38" s="14"/>
      <c r="F38" s="17" t="str">
        <f aca="false">IF($D38="","",IF(Configuración!$B$10="Sí",$D38/(1+Configuración!$B$8),$D38))</f>
        <v/>
      </c>
      <c r="G38" s="17" t="str">
        <f aca="false">IF($D38="","",F38*Configuración!$B$8)</f>
        <v/>
      </c>
      <c r="H38" s="17" t="str">
        <f aca="false">IF($D38="","",F38+G38)</f>
        <v/>
      </c>
      <c r="I38" s="17" t="str">
        <f aca="false">IF($D38="","",F38*Configuración!$B$9)</f>
        <v/>
      </c>
      <c r="J38" s="17" t="str">
        <f aca="false">IF($D38="","",F38-I38)</f>
        <v/>
      </c>
      <c r="K38" s="17" t="str">
        <f aca="false">IF($D38="","",J38*Configuración!$C$4)</f>
        <v/>
      </c>
      <c r="L38" s="17" t="str">
        <f aca="false">IF($D38="","",J38*Configuración!$C$5)</f>
        <v/>
      </c>
    </row>
    <row r="39" customFormat="false" ht="15" hidden="false" customHeight="false" outlineLevel="0" collapsed="false">
      <c r="A39" s="15"/>
      <c r="B39" s="14"/>
      <c r="C39" s="14"/>
      <c r="D39" s="16"/>
      <c r="E39" s="14"/>
      <c r="F39" s="17" t="str">
        <f aca="false">IF($D39="","",IF(Configuración!$B$10="Sí",$D39/(1+Configuración!$B$8),$D39))</f>
        <v/>
      </c>
      <c r="G39" s="17" t="str">
        <f aca="false">IF($D39="","",F39*Configuración!$B$8)</f>
        <v/>
      </c>
      <c r="H39" s="17" t="str">
        <f aca="false">IF($D39="","",F39+G39)</f>
        <v/>
      </c>
      <c r="I39" s="17" t="str">
        <f aca="false">IF($D39="","",F39*Configuración!$B$9)</f>
        <v/>
      </c>
      <c r="J39" s="17" t="str">
        <f aca="false">IF($D39="","",F39-I39)</f>
        <v/>
      </c>
      <c r="K39" s="17" t="str">
        <f aca="false">IF($D39="","",J39*Configuración!$C$4)</f>
        <v/>
      </c>
      <c r="L39" s="17" t="str">
        <f aca="false">IF($D39="","",J39*Configuración!$C$5)</f>
        <v/>
      </c>
    </row>
    <row r="40" customFormat="false" ht="15" hidden="false" customHeight="false" outlineLevel="0" collapsed="false">
      <c r="A40" s="15"/>
      <c r="B40" s="14"/>
      <c r="C40" s="14"/>
      <c r="D40" s="16"/>
      <c r="E40" s="14"/>
      <c r="F40" s="17" t="str">
        <f aca="false">IF($D40="","",IF(Configuración!$B$10="Sí",$D40/(1+Configuración!$B$8),$D40))</f>
        <v/>
      </c>
      <c r="G40" s="17" t="str">
        <f aca="false">IF($D40="","",F40*Configuración!$B$8)</f>
        <v/>
      </c>
      <c r="H40" s="17" t="str">
        <f aca="false">IF($D40="","",F40+G40)</f>
        <v/>
      </c>
      <c r="I40" s="17" t="str">
        <f aca="false">IF($D40="","",F40*Configuración!$B$9)</f>
        <v/>
      </c>
      <c r="J40" s="17" t="str">
        <f aca="false">IF($D40="","",F40-I40)</f>
        <v/>
      </c>
      <c r="K40" s="17" t="str">
        <f aca="false">IF($D40="","",J40*Configuración!$C$4)</f>
        <v/>
      </c>
      <c r="L40" s="17" t="str">
        <f aca="false">IF($D40="","",J40*Configuración!$C$5)</f>
        <v/>
      </c>
    </row>
    <row r="41" customFormat="false" ht="15" hidden="false" customHeight="false" outlineLevel="0" collapsed="false">
      <c r="A41" s="15"/>
      <c r="B41" s="14"/>
      <c r="C41" s="14"/>
      <c r="D41" s="16"/>
      <c r="E41" s="14"/>
      <c r="F41" s="17" t="str">
        <f aca="false">IF($D41="","",IF(Configuración!$B$10="Sí",$D41/(1+Configuración!$B$8),$D41))</f>
        <v/>
      </c>
      <c r="G41" s="17" t="str">
        <f aca="false">IF($D41="","",F41*Configuración!$B$8)</f>
        <v/>
      </c>
      <c r="H41" s="17" t="str">
        <f aca="false">IF($D41="","",F41+G41)</f>
        <v/>
      </c>
      <c r="I41" s="17" t="str">
        <f aca="false">IF($D41="","",F41*Configuración!$B$9)</f>
        <v/>
      </c>
      <c r="J41" s="17" t="str">
        <f aca="false">IF($D41="","",F41-I41)</f>
        <v/>
      </c>
      <c r="K41" s="17" t="str">
        <f aca="false">IF($D41="","",J41*Configuración!$C$4)</f>
        <v/>
      </c>
      <c r="L41" s="17" t="str">
        <f aca="false">IF($D41="","",J41*Configuración!$C$5)</f>
        <v/>
      </c>
    </row>
    <row r="42" customFormat="false" ht="15" hidden="false" customHeight="false" outlineLevel="0" collapsed="false">
      <c r="A42" s="15"/>
      <c r="B42" s="14"/>
      <c r="C42" s="14"/>
      <c r="D42" s="16"/>
      <c r="E42" s="14"/>
      <c r="F42" s="17" t="str">
        <f aca="false">IF($D42="","",IF(Configuración!$B$10="Sí",$D42/(1+Configuración!$B$8),$D42))</f>
        <v/>
      </c>
      <c r="G42" s="17" t="str">
        <f aca="false">IF($D42="","",F42*Configuración!$B$8)</f>
        <v/>
      </c>
      <c r="H42" s="17" t="str">
        <f aca="false">IF($D42="","",F42+G42)</f>
        <v/>
      </c>
      <c r="I42" s="17" t="str">
        <f aca="false">IF($D42="","",F42*Configuración!$B$9)</f>
        <v/>
      </c>
      <c r="J42" s="17" t="str">
        <f aca="false">IF($D42="","",F42-I42)</f>
        <v/>
      </c>
      <c r="K42" s="17" t="str">
        <f aca="false">IF($D42="","",J42*Configuración!$C$4)</f>
        <v/>
      </c>
      <c r="L42" s="17" t="str">
        <f aca="false">IF($D42="","",J42*Configuración!$C$5)</f>
        <v/>
      </c>
    </row>
    <row r="43" customFormat="false" ht="15" hidden="false" customHeight="false" outlineLevel="0" collapsed="false">
      <c r="A43" s="15"/>
      <c r="B43" s="14"/>
      <c r="C43" s="14"/>
      <c r="D43" s="16"/>
      <c r="E43" s="14"/>
      <c r="F43" s="17" t="str">
        <f aca="false">IF($D43="","",IF(Configuración!$B$10="Sí",$D43/(1+Configuración!$B$8),$D43))</f>
        <v/>
      </c>
      <c r="G43" s="17" t="str">
        <f aca="false">IF($D43="","",F43*Configuración!$B$8)</f>
        <v/>
      </c>
      <c r="H43" s="17" t="str">
        <f aca="false">IF($D43="","",F43+G43)</f>
        <v/>
      </c>
      <c r="I43" s="17" t="str">
        <f aca="false">IF($D43="","",F43*Configuración!$B$9)</f>
        <v/>
      </c>
      <c r="J43" s="17" t="str">
        <f aca="false">IF($D43="","",F43-I43)</f>
        <v/>
      </c>
      <c r="K43" s="17" t="str">
        <f aca="false">IF($D43="","",J43*Configuración!$C$4)</f>
        <v/>
      </c>
      <c r="L43" s="17" t="str">
        <f aca="false">IF($D43="","",J43*Configuración!$C$5)</f>
        <v/>
      </c>
    </row>
    <row r="44" customFormat="false" ht="15" hidden="false" customHeight="false" outlineLevel="0" collapsed="false">
      <c r="A44" s="15"/>
      <c r="B44" s="14"/>
      <c r="C44" s="14"/>
      <c r="D44" s="16"/>
      <c r="E44" s="14"/>
      <c r="F44" s="17" t="str">
        <f aca="false">IF($D44="","",IF(Configuración!$B$10="Sí",$D44/(1+Configuración!$B$8),$D44))</f>
        <v/>
      </c>
      <c r="G44" s="17" t="str">
        <f aca="false">IF($D44="","",F44*Configuración!$B$8)</f>
        <v/>
      </c>
      <c r="H44" s="17" t="str">
        <f aca="false">IF($D44="","",F44+G44)</f>
        <v/>
      </c>
      <c r="I44" s="17" t="str">
        <f aca="false">IF($D44="","",F44*Configuración!$B$9)</f>
        <v/>
      </c>
      <c r="J44" s="17" t="str">
        <f aca="false">IF($D44="","",F44-I44)</f>
        <v/>
      </c>
      <c r="K44" s="17" t="str">
        <f aca="false">IF($D44="","",J44*Configuración!$C$4)</f>
        <v/>
      </c>
      <c r="L44" s="17" t="str">
        <f aca="false">IF($D44="","",J44*Configuración!$C$5)</f>
        <v/>
      </c>
    </row>
    <row r="45" customFormat="false" ht="15" hidden="false" customHeight="false" outlineLevel="0" collapsed="false">
      <c r="A45" s="15"/>
      <c r="B45" s="14"/>
      <c r="C45" s="14"/>
      <c r="D45" s="16"/>
      <c r="E45" s="14"/>
      <c r="F45" s="17" t="str">
        <f aca="false">IF($D45="","",IF(Configuración!$B$10="Sí",$D45/(1+Configuración!$B$8),$D45))</f>
        <v/>
      </c>
      <c r="G45" s="17" t="str">
        <f aca="false">IF($D45="","",F45*Configuración!$B$8)</f>
        <v/>
      </c>
      <c r="H45" s="17" t="str">
        <f aca="false">IF($D45="","",F45+G45)</f>
        <v/>
      </c>
      <c r="I45" s="17" t="str">
        <f aca="false">IF($D45="","",F45*Configuración!$B$9)</f>
        <v/>
      </c>
      <c r="J45" s="17" t="str">
        <f aca="false">IF($D45="","",F45-I45)</f>
        <v/>
      </c>
      <c r="K45" s="17" t="str">
        <f aca="false">IF($D45="","",J45*Configuración!$C$4)</f>
        <v/>
      </c>
      <c r="L45" s="17" t="str">
        <f aca="false">IF($D45="","",J45*Configuración!$C$5)</f>
        <v/>
      </c>
    </row>
    <row r="46" customFormat="false" ht="15" hidden="false" customHeight="false" outlineLevel="0" collapsed="false">
      <c r="A46" s="15"/>
      <c r="B46" s="14"/>
      <c r="C46" s="14"/>
      <c r="D46" s="16"/>
      <c r="E46" s="14"/>
      <c r="F46" s="17" t="str">
        <f aca="false">IF($D46="","",IF(Configuración!$B$10="Sí",$D46/(1+Configuración!$B$8),$D46))</f>
        <v/>
      </c>
      <c r="G46" s="17" t="str">
        <f aca="false">IF($D46="","",F46*Configuración!$B$8)</f>
        <v/>
      </c>
      <c r="H46" s="17" t="str">
        <f aca="false">IF($D46="","",F46+G46)</f>
        <v/>
      </c>
      <c r="I46" s="17" t="str">
        <f aca="false">IF($D46="","",F46*Configuración!$B$9)</f>
        <v/>
      </c>
      <c r="J46" s="17" t="str">
        <f aca="false">IF($D46="","",F46-I46)</f>
        <v/>
      </c>
      <c r="K46" s="17" t="str">
        <f aca="false">IF($D46="","",J46*Configuración!$C$4)</f>
        <v/>
      </c>
      <c r="L46" s="17" t="str">
        <f aca="false">IF($D46="","",J46*Configuración!$C$5)</f>
        <v/>
      </c>
    </row>
    <row r="47" customFormat="false" ht="15" hidden="false" customHeight="false" outlineLevel="0" collapsed="false">
      <c r="A47" s="15"/>
      <c r="B47" s="14"/>
      <c r="C47" s="14"/>
      <c r="D47" s="16"/>
      <c r="E47" s="14"/>
      <c r="F47" s="17" t="str">
        <f aca="false">IF($D47="","",IF(Configuración!$B$10="Sí",$D47/(1+Configuración!$B$8),$D47))</f>
        <v/>
      </c>
      <c r="G47" s="17" t="str">
        <f aca="false">IF($D47="","",F47*Configuración!$B$8)</f>
        <v/>
      </c>
      <c r="H47" s="17" t="str">
        <f aca="false">IF($D47="","",F47+G47)</f>
        <v/>
      </c>
      <c r="I47" s="17" t="str">
        <f aca="false">IF($D47="","",F47*Configuración!$B$9)</f>
        <v/>
      </c>
      <c r="J47" s="17" t="str">
        <f aca="false">IF($D47="","",F47-I47)</f>
        <v/>
      </c>
      <c r="K47" s="17" t="str">
        <f aca="false">IF($D47="","",J47*Configuración!$C$4)</f>
        <v/>
      </c>
      <c r="L47" s="17" t="str">
        <f aca="false">IF($D47="","",J47*Configuración!$C$5)</f>
        <v/>
      </c>
    </row>
    <row r="48" customFormat="false" ht="15" hidden="false" customHeight="false" outlineLevel="0" collapsed="false">
      <c r="A48" s="15"/>
      <c r="B48" s="14"/>
      <c r="C48" s="14"/>
      <c r="D48" s="16"/>
      <c r="E48" s="14"/>
      <c r="F48" s="17" t="str">
        <f aca="false">IF($D48="","",IF(Configuración!$B$10="Sí",$D48/(1+Configuración!$B$8),$D48))</f>
        <v/>
      </c>
      <c r="G48" s="17" t="str">
        <f aca="false">IF($D48="","",F48*Configuración!$B$8)</f>
        <v/>
      </c>
      <c r="H48" s="17" t="str">
        <f aca="false">IF($D48="","",F48+G48)</f>
        <v/>
      </c>
      <c r="I48" s="17" t="str">
        <f aca="false">IF($D48="","",F48*Configuración!$B$9)</f>
        <v/>
      </c>
      <c r="J48" s="17" t="str">
        <f aca="false">IF($D48="","",F48-I48)</f>
        <v/>
      </c>
      <c r="K48" s="17" t="str">
        <f aca="false">IF($D48="","",J48*Configuración!$C$4)</f>
        <v/>
      </c>
      <c r="L48" s="17" t="str">
        <f aca="false">IF($D48="","",J48*Configuración!$C$5)</f>
        <v/>
      </c>
    </row>
    <row r="49" customFormat="false" ht="15" hidden="false" customHeight="false" outlineLevel="0" collapsed="false">
      <c r="A49" s="15"/>
      <c r="B49" s="14"/>
      <c r="C49" s="14"/>
      <c r="D49" s="16"/>
      <c r="E49" s="14"/>
      <c r="F49" s="17" t="str">
        <f aca="false">IF($D49="","",IF(Configuración!$B$10="Sí",$D49/(1+Configuración!$B$8),$D49))</f>
        <v/>
      </c>
      <c r="G49" s="17" t="str">
        <f aca="false">IF($D49="","",F49*Configuración!$B$8)</f>
        <v/>
      </c>
      <c r="H49" s="17" t="str">
        <f aca="false">IF($D49="","",F49+G49)</f>
        <v/>
      </c>
      <c r="I49" s="17" t="str">
        <f aca="false">IF($D49="","",F49*Configuración!$B$9)</f>
        <v/>
      </c>
      <c r="J49" s="17" t="str">
        <f aca="false">IF($D49="","",F49-I49)</f>
        <v/>
      </c>
      <c r="K49" s="17" t="str">
        <f aca="false">IF($D49="","",J49*Configuración!$C$4)</f>
        <v/>
      </c>
      <c r="L49" s="17" t="str">
        <f aca="false">IF($D49="","",J49*Configuración!$C$5)</f>
        <v/>
      </c>
    </row>
    <row r="50" customFormat="false" ht="15" hidden="false" customHeight="false" outlineLevel="0" collapsed="false">
      <c r="A50" s="15"/>
      <c r="B50" s="14"/>
      <c r="C50" s="14"/>
      <c r="D50" s="16"/>
      <c r="E50" s="14"/>
      <c r="F50" s="17" t="str">
        <f aca="false">IF($D50="","",IF(Configuración!$B$10="Sí",$D50/(1+Configuración!$B$8),$D50))</f>
        <v/>
      </c>
      <c r="G50" s="17" t="str">
        <f aca="false">IF($D50="","",F50*Configuración!$B$8)</f>
        <v/>
      </c>
      <c r="H50" s="17" t="str">
        <f aca="false">IF($D50="","",F50+G50)</f>
        <v/>
      </c>
      <c r="I50" s="17" t="str">
        <f aca="false">IF($D50="","",F50*Configuración!$B$9)</f>
        <v/>
      </c>
      <c r="J50" s="17" t="str">
        <f aca="false">IF($D50="","",F50-I50)</f>
        <v/>
      </c>
      <c r="K50" s="17" t="str">
        <f aca="false">IF($D50="","",J50*Configuración!$C$4)</f>
        <v/>
      </c>
      <c r="L50" s="17" t="str">
        <f aca="false">IF($D50="","",J50*Configuración!$C$5)</f>
        <v/>
      </c>
    </row>
    <row r="51" customFormat="false" ht="15" hidden="false" customHeight="false" outlineLevel="0" collapsed="false">
      <c r="A51" s="15"/>
      <c r="B51" s="14"/>
      <c r="C51" s="14"/>
      <c r="D51" s="16"/>
      <c r="E51" s="14"/>
      <c r="F51" s="17" t="str">
        <f aca="false">IF($D51="","",IF(Configuración!$B$10="Sí",$D51/(1+Configuración!$B$8),$D51))</f>
        <v/>
      </c>
      <c r="G51" s="17" t="str">
        <f aca="false">IF($D51="","",F51*Configuración!$B$8)</f>
        <v/>
      </c>
      <c r="H51" s="17" t="str">
        <f aca="false">IF($D51="","",F51+G51)</f>
        <v/>
      </c>
      <c r="I51" s="17" t="str">
        <f aca="false">IF($D51="","",F51*Configuración!$B$9)</f>
        <v/>
      </c>
      <c r="J51" s="17" t="str">
        <f aca="false">IF($D51="","",F51-I51)</f>
        <v/>
      </c>
      <c r="K51" s="17" t="str">
        <f aca="false">IF($D51="","",J51*Configuración!$C$4)</f>
        <v/>
      </c>
      <c r="L51" s="17" t="str">
        <f aca="false">IF($D51="","",J51*Configuración!$C$5)</f>
        <v/>
      </c>
    </row>
    <row r="52" customFormat="false" ht="15" hidden="false" customHeight="false" outlineLevel="0" collapsed="false">
      <c r="A52" s="15"/>
      <c r="B52" s="14"/>
      <c r="C52" s="14"/>
      <c r="D52" s="16"/>
      <c r="E52" s="14"/>
      <c r="F52" s="17" t="str">
        <f aca="false">IF($D52="","",IF(Configuración!$B$10="Sí",$D52/(1+Configuración!$B$8),$D52))</f>
        <v/>
      </c>
      <c r="G52" s="17" t="str">
        <f aca="false">IF($D52="","",F52*Configuración!$B$8)</f>
        <v/>
      </c>
      <c r="H52" s="17" t="str">
        <f aca="false">IF($D52="","",F52+G52)</f>
        <v/>
      </c>
      <c r="I52" s="17" t="str">
        <f aca="false">IF($D52="","",F52*Configuración!$B$9)</f>
        <v/>
      </c>
      <c r="J52" s="17" t="str">
        <f aca="false">IF($D52="","",F52-I52)</f>
        <v/>
      </c>
      <c r="K52" s="17" t="str">
        <f aca="false">IF($D52="","",J52*Configuración!$C$4)</f>
        <v/>
      </c>
      <c r="L52" s="17" t="str">
        <f aca="false">IF($D52="","",J52*Configuración!$C$5)</f>
        <v/>
      </c>
    </row>
    <row r="53" customFormat="false" ht="15" hidden="false" customHeight="false" outlineLevel="0" collapsed="false">
      <c r="A53" s="15"/>
      <c r="B53" s="14"/>
      <c r="C53" s="14"/>
      <c r="D53" s="16"/>
      <c r="E53" s="14"/>
      <c r="F53" s="17" t="str">
        <f aca="false">IF($D53="","",IF(Configuración!$B$10="Sí",$D53/(1+Configuración!$B$8),$D53))</f>
        <v/>
      </c>
      <c r="G53" s="17" t="str">
        <f aca="false">IF($D53="","",F53*Configuración!$B$8)</f>
        <v/>
      </c>
      <c r="H53" s="17" t="str">
        <f aca="false">IF($D53="","",F53+G53)</f>
        <v/>
      </c>
      <c r="I53" s="17" t="str">
        <f aca="false">IF($D53="","",F53*Configuración!$B$9)</f>
        <v/>
      </c>
      <c r="J53" s="17" t="str">
        <f aca="false">IF($D53="","",F53-I53)</f>
        <v/>
      </c>
      <c r="K53" s="17" t="str">
        <f aca="false">IF($D53="","",J53*Configuración!$C$4)</f>
        <v/>
      </c>
      <c r="L53" s="17" t="str">
        <f aca="false">IF($D53="","",J53*Configuración!$C$5)</f>
        <v/>
      </c>
    </row>
    <row r="54" customFormat="false" ht="15" hidden="false" customHeight="false" outlineLevel="0" collapsed="false">
      <c r="A54" s="15"/>
      <c r="B54" s="14"/>
      <c r="C54" s="14"/>
      <c r="D54" s="16"/>
      <c r="E54" s="14"/>
      <c r="F54" s="17" t="str">
        <f aca="false">IF($D54="","",IF(Configuración!$B$10="Sí",$D54/(1+Configuración!$B$8),$D54))</f>
        <v/>
      </c>
      <c r="G54" s="17" t="str">
        <f aca="false">IF($D54="","",F54*Configuración!$B$8)</f>
        <v/>
      </c>
      <c r="H54" s="17" t="str">
        <f aca="false">IF($D54="","",F54+G54)</f>
        <v/>
      </c>
      <c r="I54" s="17" t="str">
        <f aca="false">IF($D54="","",F54*Configuración!$B$9)</f>
        <v/>
      </c>
      <c r="J54" s="17" t="str">
        <f aca="false">IF($D54="","",F54-I54)</f>
        <v/>
      </c>
      <c r="K54" s="17" t="str">
        <f aca="false">IF($D54="","",J54*Configuración!$C$4)</f>
        <v/>
      </c>
      <c r="L54" s="17" t="str">
        <f aca="false">IF($D54="","",J54*Configuración!$C$5)</f>
        <v/>
      </c>
    </row>
    <row r="55" customFormat="false" ht="15" hidden="false" customHeight="false" outlineLevel="0" collapsed="false">
      <c r="A55" s="15"/>
      <c r="B55" s="14"/>
      <c r="C55" s="14"/>
      <c r="D55" s="16"/>
      <c r="E55" s="14"/>
      <c r="F55" s="17" t="str">
        <f aca="false">IF($D55="","",IF(Configuración!$B$10="Sí",$D55/(1+Configuración!$B$8),$D55))</f>
        <v/>
      </c>
      <c r="G55" s="17" t="str">
        <f aca="false">IF($D55="","",F55*Configuración!$B$8)</f>
        <v/>
      </c>
      <c r="H55" s="17" t="str">
        <f aca="false">IF($D55="","",F55+G55)</f>
        <v/>
      </c>
      <c r="I55" s="17" t="str">
        <f aca="false">IF($D55="","",F55*Configuración!$B$9)</f>
        <v/>
      </c>
      <c r="J55" s="17" t="str">
        <f aca="false">IF($D55="","",F55-I55)</f>
        <v/>
      </c>
      <c r="K55" s="17" t="str">
        <f aca="false">IF($D55="","",J55*Configuración!$C$4)</f>
        <v/>
      </c>
      <c r="L55" s="17" t="str">
        <f aca="false">IF($D55="","",J55*Configuración!$C$5)</f>
        <v/>
      </c>
    </row>
    <row r="56" customFormat="false" ht="15" hidden="false" customHeight="false" outlineLevel="0" collapsed="false">
      <c r="A56" s="15"/>
      <c r="B56" s="14"/>
      <c r="C56" s="14"/>
      <c r="D56" s="16"/>
      <c r="E56" s="14"/>
      <c r="F56" s="17" t="str">
        <f aca="false">IF($D56="","",IF(Configuración!$B$10="Sí",$D56/(1+Configuración!$B$8),$D56))</f>
        <v/>
      </c>
      <c r="G56" s="17" t="str">
        <f aca="false">IF($D56="","",F56*Configuración!$B$8)</f>
        <v/>
      </c>
      <c r="H56" s="17" t="str">
        <f aca="false">IF($D56="","",F56+G56)</f>
        <v/>
      </c>
      <c r="I56" s="17" t="str">
        <f aca="false">IF($D56="","",F56*Configuración!$B$9)</f>
        <v/>
      </c>
      <c r="J56" s="17" t="str">
        <f aca="false">IF($D56="","",F56-I56)</f>
        <v/>
      </c>
      <c r="K56" s="17" t="str">
        <f aca="false">IF($D56="","",J56*Configuración!$C$4)</f>
        <v/>
      </c>
      <c r="L56" s="17" t="str">
        <f aca="false">IF($D56="","",J56*Configuración!$C$5)</f>
        <v/>
      </c>
    </row>
    <row r="57" customFormat="false" ht="15" hidden="false" customHeight="false" outlineLevel="0" collapsed="false">
      <c r="A57" s="15"/>
      <c r="B57" s="14"/>
      <c r="C57" s="14"/>
      <c r="D57" s="16"/>
      <c r="E57" s="14"/>
      <c r="F57" s="17" t="str">
        <f aca="false">IF($D57="","",IF(Configuración!$B$10="Sí",$D57/(1+Configuración!$B$8),$D57))</f>
        <v/>
      </c>
      <c r="G57" s="17" t="str">
        <f aca="false">IF($D57="","",F57*Configuración!$B$8)</f>
        <v/>
      </c>
      <c r="H57" s="17" t="str">
        <f aca="false">IF($D57="","",F57+G57)</f>
        <v/>
      </c>
      <c r="I57" s="17" t="str">
        <f aca="false">IF($D57="","",F57*Configuración!$B$9)</f>
        <v/>
      </c>
      <c r="J57" s="17" t="str">
        <f aca="false">IF($D57="","",F57-I57)</f>
        <v/>
      </c>
      <c r="K57" s="17" t="str">
        <f aca="false">IF($D57="","",J57*Configuración!$C$4)</f>
        <v/>
      </c>
      <c r="L57" s="17" t="str">
        <f aca="false">IF($D57="","",J57*Configuración!$C$5)</f>
        <v/>
      </c>
    </row>
    <row r="58" customFormat="false" ht="15" hidden="false" customHeight="false" outlineLevel="0" collapsed="false">
      <c r="A58" s="15"/>
      <c r="B58" s="14"/>
      <c r="C58" s="14"/>
      <c r="D58" s="16"/>
      <c r="E58" s="14"/>
      <c r="F58" s="17" t="str">
        <f aca="false">IF($D58="","",IF(Configuración!$B$10="Sí",$D58/(1+Configuración!$B$8),$D58))</f>
        <v/>
      </c>
      <c r="G58" s="17" t="str">
        <f aca="false">IF($D58="","",F58*Configuración!$B$8)</f>
        <v/>
      </c>
      <c r="H58" s="17" t="str">
        <f aca="false">IF($D58="","",F58+G58)</f>
        <v/>
      </c>
      <c r="I58" s="17" t="str">
        <f aca="false">IF($D58="","",F58*Configuración!$B$9)</f>
        <v/>
      </c>
      <c r="J58" s="17" t="str">
        <f aca="false">IF($D58="","",F58-I58)</f>
        <v/>
      </c>
      <c r="K58" s="17" t="str">
        <f aca="false">IF($D58="","",J58*Configuración!$C$4)</f>
        <v/>
      </c>
      <c r="L58" s="17" t="str">
        <f aca="false">IF($D58="","",J58*Configuración!$C$5)</f>
        <v/>
      </c>
    </row>
    <row r="59" customFormat="false" ht="15" hidden="false" customHeight="false" outlineLevel="0" collapsed="false">
      <c r="A59" s="15"/>
      <c r="B59" s="14"/>
      <c r="C59" s="14"/>
      <c r="D59" s="16"/>
      <c r="E59" s="14"/>
      <c r="F59" s="17" t="str">
        <f aca="false">IF($D59="","",IF(Configuración!$B$10="Sí",$D59/(1+Configuración!$B$8),$D59))</f>
        <v/>
      </c>
      <c r="G59" s="17" t="str">
        <f aca="false">IF($D59="","",F59*Configuración!$B$8)</f>
        <v/>
      </c>
      <c r="H59" s="17" t="str">
        <f aca="false">IF($D59="","",F59+G59)</f>
        <v/>
      </c>
      <c r="I59" s="17" t="str">
        <f aca="false">IF($D59="","",F59*Configuración!$B$9)</f>
        <v/>
      </c>
      <c r="J59" s="17" t="str">
        <f aca="false">IF($D59="","",F59-I59)</f>
        <v/>
      </c>
      <c r="K59" s="17" t="str">
        <f aca="false">IF($D59="","",J59*Configuración!$C$4)</f>
        <v/>
      </c>
      <c r="L59" s="17" t="str">
        <f aca="false">IF($D59="","",J59*Configuración!$C$5)</f>
        <v/>
      </c>
    </row>
    <row r="60" customFormat="false" ht="15" hidden="false" customHeight="false" outlineLevel="0" collapsed="false">
      <c r="A60" s="15"/>
      <c r="B60" s="14"/>
      <c r="C60" s="14"/>
      <c r="D60" s="16"/>
      <c r="E60" s="14"/>
      <c r="F60" s="17" t="str">
        <f aca="false">IF($D60="","",IF(Configuración!$B$10="Sí",$D60/(1+Configuración!$B$8),$D60))</f>
        <v/>
      </c>
      <c r="G60" s="17" t="str">
        <f aca="false">IF($D60="","",F60*Configuración!$B$8)</f>
        <v/>
      </c>
      <c r="H60" s="17" t="str">
        <f aca="false">IF($D60="","",F60+G60)</f>
        <v/>
      </c>
      <c r="I60" s="17" t="str">
        <f aca="false">IF($D60="","",F60*Configuración!$B$9)</f>
        <v/>
      </c>
      <c r="J60" s="17" t="str">
        <f aca="false">IF($D60="","",F60-I60)</f>
        <v/>
      </c>
      <c r="K60" s="17" t="str">
        <f aca="false">IF($D60="","",J60*Configuración!$C$4)</f>
        <v/>
      </c>
      <c r="L60" s="17" t="str">
        <f aca="false">IF($D60="","",J60*Configuración!$C$5)</f>
        <v/>
      </c>
    </row>
    <row r="61" customFormat="false" ht="15" hidden="false" customHeight="false" outlineLevel="0" collapsed="false">
      <c r="A61" s="15"/>
      <c r="B61" s="14"/>
      <c r="C61" s="14"/>
      <c r="D61" s="16"/>
      <c r="E61" s="14"/>
      <c r="F61" s="17" t="str">
        <f aca="false">IF($D61="","",IF(Configuración!$B$10="Sí",$D61/(1+Configuración!$B$8),$D61))</f>
        <v/>
      </c>
      <c r="G61" s="17" t="str">
        <f aca="false">IF($D61="","",F61*Configuración!$B$8)</f>
        <v/>
      </c>
      <c r="H61" s="17" t="str">
        <f aca="false">IF($D61="","",F61+G61)</f>
        <v/>
      </c>
      <c r="I61" s="17" t="str">
        <f aca="false">IF($D61="","",F61*Configuración!$B$9)</f>
        <v/>
      </c>
      <c r="J61" s="17" t="str">
        <f aca="false">IF($D61="","",F61-I61)</f>
        <v/>
      </c>
      <c r="K61" s="17" t="str">
        <f aca="false">IF($D61="","",J61*Configuración!$C$4)</f>
        <v/>
      </c>
      <c r="L61" s="17" t="str">
        <f aca="false">IF($D61="","",J61*Configuración!$C$5)</f>
        <v/>
      </c>
    </row>
    <row r="62" customFormat="false" ht="15" hidden="false" customHeight="false" outlineLevel="0" collapsed="false">
      <c r="A62" s="15"/>
      <c r="B62" s="14"/>
      <c r="C62" s="14"/>
      <c r="D62" s="16"/>
      <c r="E62" s="14"/>
      <c r="F62" s="17" t="str">
        <f aca="false">IF($D62="","",IF(Configuración!$B$10="Sí",$D62/(1+Configuración!$B$8),$D62))</f>
        <v/>
      </c>
      <c r="G62" s="17" t="str">
        <f aca="false">IF($D62="","",F62*Configuración!$B$8)</f>
        <v/>
      </c>
      <c r="H62" s="17" t="str">
        <f aca="false">IF($D62="","",F62+G62)</f>
        <v/>
      </c>
      <c r="I62" s="17" t="str">
        <f aca="false">IF($D62="","",F62*Configuración!$B$9)</f>
        <v/>
      </c>
      <c r="J62" s="17" t="str">
        <f aca="false">IF($D62="","",F62-I62)</f>
        <v/>
      </c>
      <c r="K62" s="17" t="str">
        <f aca="false">IF($D62="","",J62*Configuración!$C$4)</f>
        <v/>
      </c>
      <c r="L62" s="17" t="str">
        <f aca="false">IF($D62="","",J62*Configuración!$C$5)</f>
        <v/>
      </c>
    </row>
    <row r="63" customFormat="false" ht="15" hidden="false" customHeight="false" outlineLevel="0" collapsed="false">
      <c r="A63" s="15"/>
      <c r="B63" s="14"/>
      <c r="C63" s="14"/>
      <c r="D63" s="16"/>
      <c r="E63" s="14"/>
      <c r="F63" s="17" t="str">
        <f aca="false">IF($D63="","",IF(Configuración!$B$10="Sí",$D63/(1+Configuración!$B$8),$D63))</f>
        <v/>
      </c>
      <c r="G63" s="17" t="str">
        <f aca="false">IF($D63="","",F63*Configuración!$B$8)</f>
        <v/>
      </c>
      <c r="H63" s="17" t="str">
        <f aca="false">IF($D63="","",F63+G63)</f>
        <v/>
      </c>
      <c r="I63" s="17" t="str">
        <f aca="false">IF($D63="","",F63*Configuración!$B$9)</f>
        <v/>
      </c>
      <c r="J63" s="17" t="str">
        <f aca="false">IF($D63="","",F63-I63)</f>
        <v/>
      </c>
      <c r="K63" s="17" t="str">
        <f aca="false">IF($D63="","",J63*Configuración!$C$4)</f>
        <v/>
      </c>
      <c r="L63" s="17" t="str">
        <f aca="false">IF($D63="","",J63*Configuración!$C$5)</f>
        <v/>
      </c>
    </row>
    <row r="64" customFormat="false" ht="15" hidden="false" customHeight="false" outlineLevel="0" collapsed="false">
      <c r="A64" s="15"/>
      <c r="B64" s="14"/>
      <c r="C64" s="14"/>
      <c r="D64" s="16"/>
      <c r="E64" s="14"/>
      <c r="F64" s="17" t="str">
        <f aca="false">IF($D64="","",IF(Configuración!$B$10="Sí",$D64/(1+Configuración!$B$8),$D64))</f>
        <v/>
      </c>
      <c r="G64" s="17" t="str">
        <f aca="false">IF($D64="","",F64*Configuración!$B$8)</f>
        <v/>
      </c>
      <c r="H64" s="17" t="str">
        <f aca="false">IF($D64="","",F64+G64)</f>
        <v/>
      </c>
      <c r="I64" s="17" t="str">
        <f aca="false">IF($D64="","",F64*Configuración!$B$9)</f>
        <v/>
      </c>
      <c r="J64" s="17" t="str">
        <f aca="false">IF($D64="","",F64-I64)</f>
        <v/>
      </c>
      <c r="K64" s="17" t="str">
        <f aca="false">IF($D64="","",J64*Configuración!$C$4)</f>
        <v/>
      </c>
      <c r="L64" s="17" t="str">
        <f aca="false">IF($D64="","",J64*Configuración!$C$5)</f>
        <v/>
      </c>
    </row>
    <row r="65" customFormat="false" ht="15" hidden="false" customHeight="false" outlineLevel="0" collapsed="false">
      <c r="A65" s="15"/>
      <c r="B65" s="14"/>
      <c r="C65" s="14"/>
      <c r="D65" s="16"/>
      <c r="E65" s="14"/>
      <c r="F65" s="17" t="str">
        <f aca="false">IF($D65="","",IF(Configuración!$B$10="Sí",$D65/(1+Configuración!$B$8),$D65))</f>
        <v/>
      </c>
      <c r="G65" s="17" t="str">
        <f aca="false">IF($D65="","",F65*Configuración!$B$8)</f>
        <v/>
      </c>
      <c r="H65" s="17" t="str">
        <f aca="false">IF($D65="","",F65+G65)</f>
        <v/>
      </c>
      <c r="I65" s="17" t="str">
        <f aca="false">IF($D65="","",F65*Configuración!$B$9)</f>
        <v/>
      </c>
      <c r="J65" s="17" t="str">
        <f aca="false">IF($D65="","",F65-I65)</f>
        <v/>
      </c>
      <c r="K65" s="17" t="str">
        <f aca="false">IF($D65="","",J65*Configuración!$C$4)</f>
        <v/>
      </c>
      <c r="L65" s="17" t="str">
        <f aca="false">IF($D65="","",J65*Configuración!$C$5)</f>
        <v/>
      </c>
    </row>
    <row r="66" customFormat="false" ht="15" hidden="false" customHeight="false" outlineLevel="0" collapsed="false">
      <c r="A66" s="15"/>
      <c r="B66" s="14"/>
      <c r="C66" s="14"/>
      <c r="D66" s="16"/>
      <c r="E66" s="14"/>
      <c r="F66" s="17" t="str">
        <f aca="false">IF($D66="","",IF(Configuración!$B$10="Sí",$D66/(1+Configuración!$B$8),$D66))</f>
        <v/>
      </c>
      <c r="G66" s="17" t="str">
        <f aca="false">IF($D66="","",F66*Configuración!$B$8)</f>
        <v/>
      </c>
      <c r="H66" s="17" t="str">
        <f aca="false">IF($D66="","",F66+G66)</f>
        <v/>
      </c>
      <c r="I66" s="17" t="str">
        <f aca="false">IF($D66="","",F66*Configuración!$B$9)</f>
        <v/>
      </c>
      <c r="J66" s="17" t="str">
        <f aca="false">IF($D66="","",F66-I66)</f>
        <v/>
      </c>
      <c r="K66" s="17" t="str">
        <f aca="false">IF($D66="","",J66*Configuración!$C$4)</f>
        <v/>
      </c>
      <c r="L66" s="17" t="str">
        <f aca="false">IF($D66="","",J66*Configuración!$C$5)</f>
        <v/>
      </c>
    </row>
    <row r="67" customFormat="false" ht="15" hidden="false" customHeight="false" outlineLevel="0" collapsed="false">
      <c r="A67" s="15"/>
      <c r="B67" s="14"/>
      <c r="C67" s="14"/>
      <c r="D67" s="16"/>
      <c r="E67" s="14"/>
      <c r="F67" s="17" t="str">
        <f aca="false">IF($D67="","",IF(Configuración!$B$10="Sí",$D67/(1+Configuración!$B$8),$D67))</f>
        <v/>
      </c>
      <c r="G67" s="17" t="str">
        <f aca="false">IF($D67="","",F67*Configuración!$B$8)</f>
        <v/>
      </c>
      <c r="H67" s="17" t="str">
        <f aca="false">IF($D67="","",F67+G67)</f>
        <v/>
      </c>
      <c r="I67" s="17" t="str">
        <f aca="false">IF($D67="","",F67*Configuración!$B$9)</f>
        <v/>
      </c>
      <c r="J67" s="17" t="str">
        <f aca="false">IF($D67="","",F67-I67)</f>
        <v/>
      </c>
      <c r="K67" s="17" t="str">
        <f aca="false">IF($D67="","",J67*Configuración!$C$4)</f>
        <v/>
      </c>
      <c r="L67" s="17" t="str">
        <f aca="false">IF($D67="","",J67*Configuración!$C$5)</f>
        <v/>
      </c>
    </row>
    <row r="68" customFormat="false" ht="15" hidden="false" customHeight="false" outlineLevel="0" collapsed="false">
      <c r="A68" s="15"/>
      <c r="B68" s="14"/>
      <c r="C68" s="14"/>
      <c r="D68" s="16"/>
      <c r="E68" s="14"/>
      <c r="F68" s="17" t="str">
        <f aca="false">IF($D68="","",IF(Configuración!$B$10="Sí",$D68/(1+Configuración!$B$8),$D68))</f>
        <v/>
      </c>
      <c r="G68" s="17" t="str">
        <f aca="false">IF($D68="","",F68*Configuración!$B$8)</f>
        <v/>
      </c>
      <c r="H68" s="17" t="str">
        <f aca="false">IF($D68="","",F68+G68)</f>
        <v/>
      </c>
      <c r="I68" s="17" t="str">
        <f aca="false">IF($D68="","",F68*Configuración!$B$9)</f>
        <v/>
      </c>
      <c r="J68" s="17" t="str">
        <f aca="false">IF($D68="","",F68-I68)</f>
        <v/>
      </c>
      <c r="K68" s="17" t="str">
        <f aca="false">IF($D68="","",J68*Configuración!$C$4)</f>
        <v/>
      </c>
      <c r="L68" s="17" t="str">
        <f aca="false">IF($D68="","",J68*Configuración!$C$5)</f>
        <v/>
      </c>
    </row>
    <row r="69" customFormat="false" ht="15" hidden="false" customHeight="false" outlineLevel="0" collapsed="false">
      <c r="A69" s="15"/>
      <c r="B69" s="14"/>
      <c r="C69" s="14"/>
      <c r="D69" s="16"/>
      <c r="E69" s="14"/>
      <c r="F69" s="17" t="str">
        <f aca="false">IF($D69="","",IF(Configuración!$B$10="Sí",$D69/(1+Configuración!$B$8),$D69))</f>
        <v/>
      </c>
      <c r="G69" s="17" t="str">
        <f aca="false">IF($D69="","",F69*Configuración!$B$8)</f>
        <v/>
      </c>
      <c r="H69" s="17" t="str">
        <f aca="false">IF($D69="","",F69+G69)</f>
        <v/>
      </c>
      <c r="I69" s="17" t="str">
        <f aca="false">IF($D69="","",F69*Configuración!$B$9)</f>
        <v/>
      </c>
      <c r="J69" s="17" t="str">
        <f aca="false">IF($D69="","",F69-I69)</f>
        <v/>
      </c>
      <c r="K69" s="17" t="str">
        <f aca="false">IF($D69="","",J69*Configuración!$C$4)</f>
        <v/>
      </c>
      <c r="L69" s="17" t="str">
        <f aca="false">IF($D69="","",J69*Configuración!$C$5)</f>
        <v/>
      </c>
    </row>
    <row r="70" customFormat="false" ht="15" hidden="false" customHeight="false" outlineLevel="0" collapsed="false">
      <c r="A70" s="15"/>
      <c r="B70" s="14"/>
      <c r="C70" s="14"/>
      <c r="D70" s="16"/>
      <c r="E70" s="14"/>
      <c r="F70" s="17" t="str">
        <f aca="false">IF($D70="","",IF(Configuración!$B$10="Sí",$D70/(1+Configuración!$B$8),$D70))</f>
        <v/>
      </c>
      <c r="G70" s="17" t="str">
        <f aca="false">IF($D70="","",F70*Configuración!$B$8)</f>
        <v/>
      </c>
      <c r="H70" s="17" t="str">
        <f aca="false">IF($D70="","",F70+G70)</f>
        <v/>
      </c>
      <c r="I70" s="17" t="str">
        <f aca="false">IF($D70="","",F70*Configuración!$B$9)</f>
        <v/>
      </c>
      <c r="J70" s="17" t="str">
        <f aca="false">IF($D70="","",F70-I70)</f>
        <v/>
      </c>
      <c r="K70" s="17" t="str">
        <f aca="false">IF($D70="","",J70*Configuración!$C$4)</f>
        <v/>
      </c>
      <c r="L70" s="17" t="str">
        <f aca="false">IF($D70="","",J70*Configuración!$C$5)</f>
        <v/>
      </c>
    </row>
    <row r="71" customFormat="false" ht="15" hidden="false" customHeight="false" outlineLevel="0" collapsed="false">
      <c r="A71" s="15"/>
      <c r="B71" s="14"/>
      <c r="C71" s="14"/>
      <c r="D71" s="16"/>
      <c r="E71" s="14"/>
      <c r="F71" s="17" t="str">
        <f aca="false">IF($D71="","",IF(Configuración!$B$10="Sí",$D71/(1+Configuración!$B$8),$D71))</f>
        <v/>
      </c>
      <c r="G71" s="17" t="str">
        <f aca="false">IF($D71="","",F71*Configuración!$B$8)</f>
        <v/>
      </c>
      <c r="H71" s="17" t="str">
        <f aca="false">IF($D71="","",F71+G71)</f>
        <v/>
      </c>
      <c r="I71" s="17" t="str">
        <f aca="false">IF($D71="","",F71*Configuración!$B$9)</f>
        <v/>
      </c>
      <c r="J71" s="17" t="str">
        <f aca="false">IF($D71="","",F71-I71)</f>
        <v/>
      </c>
      <c r="K71" s="17" t="str">
        <f aca="false">IF($D71="","",J71*Configuración!$C$4)</f>
        <v/>
      </c>
      <c r="L71" s="17" t="str">
        <f aca="false">IF($D71="","",J71*Configuración!$C$5)</f>
        <v/>
      </c>
    </row>
    <row r="72" customFormat="false" ht="15" hidden="false" customHeight="false" outlineLevel="0" collapsed="false">
      <c r="A72" s="15"/>
      <c r="B72" s="14"/>
      <c r="C72" s="14"/>
      <c r="D72" s="16"/>
      <c r="E72" s="14"/>
      <c r="F72" s="17" t="str">
        <f aca="false">IF($D72="","",IF(Configuración!$B$10="Sí",$D72/(1+Configuración!$B$8),$D72))</f>
        <v/>
      </c>
      <c r="G72" s="17" t="str">
        <f aca="false">IF($D72="","",F72*Configuración!$B$8)</f>
        <v/>
      </c>
      <c r="H72" s="17" t="str">
        <f aca="false">IF($D72="","",F72+G72)</f>
        <v/>
      </c>
      <c r="I72" s="17" t="str">
        <f aca="false">IF($D72="","",F72*Configuración!$B$9)</f>
        <v/>
      </c>
      <c r="J72" s="17" t="str">
        <f aca="false">IF($D72="","",F72-I72)</f>
        <v/>
      </c>
      <c r="K72" s="17" t="str">
        <f aca="false">IF($D72="","",J72*Configuración!$C$4)</f>
        <v/>
      </c>
      <c r="L72" s="17" t="str">
        <f aca="false">IF($D72="","",J72*Configuración!$C$5)</f>
        <v/>
      </c>
    </row>
    <row r="73" customFormat="false" ht="15" hidden="false" customHeight="false" outlineLevel="0" collapsed="false">
      <c r="A73" s="15"/>
      <c r="B73" s="14"/>
      <c r="C73" s="14"/>
      <c r="D73" s="16"/>
      <c r="E73" s="14"/>
      <c r="F73" s="17" t="str">
        <f aca="false">IF($D73="","",IF(Configuración!$B$10="Sí",$D73/(1+Configuración!$B$8),$D73))</f>
        <v/>
      </c>
      <c r="G73" s="17" t="str">
        <f aca="false">IF($D73="","",F73*Configuración!$B$8)</f>
        <v/>
      </c>
      <c r="H73" s="17" t="str">
        <f aca="false">IF($D73="","",F73+G73)</f>
        <v/>
      </c>
      <c r="I73" s="17" t="str">
        <f aca="false">IF($D73="","",F73*Configuración!$B$9)</f>
        <v/>
      </c>
      <c r="J73" s="17" t="str">
        <f aca="false">IF($D73="","",F73-I73)</f>
        <v/>
      </c>
      <c r="K73" s="17" t="str">
        <f aca="false">IF($D73="","",J73*Configuración!$C$4)</f>
        <v/>
      </c>
      <c r="L73" s="17" t="str">
        <f aca="false">IF($D73="","",J73*Configuración!$C$5)</f>
        <v/>
      </c>
    </row>
    <row r="74" customFormat="false" ht="15" hidden="false" customHeight="false" outlineLevel="0" collapsed="false">
      <c r="A74" s="15"/>
      <c r="B74" s="14"/>
      <c r="C74" s="14"/>
      <c r="D74" s="16"/>
      <c r="E74" s="14"/>
      <c r="F74" s="17" t="str">
        <f aca="false">IF($D74="","",IF(Configuración!$B$10="Sí",$D74/(1+Configuración!$B$8),$D74))</f>
        <v/>
      </c>
      <c r="G74" s="17" t="str">
        <f aca="false">IF($D74="","",F74*Configuración!$B$8)</f>
        <v/>
      </c>
      <c r="H74" s="17" t="str">
        <f aca="false">IF($D74="","",F74+G74)</f>
        <v/>
      </c>
      <c r="I74" s="17" t="str">
        <f aca="false">IF($D74="","",F74*Configuración!$B$9)</f>
        <v/>
      </c>
      <c r="J74" s="17" t="str">
        <f aca="false">IF($D74="","",F74-I74)</f>
        <v/>
      </c>
      <c r="K74" s="17" t="str">
        <f aca="false">IF($D74="","",J74*Configuración!$C$4)</f>
        <v/>
      </c>
      <c r="L74" s="17" t="str">
        <f aca="false">IF($D74="","",J74*Configuración!$C$5)</f>
        <v/>
      </c>
    </row>
    <row r="75" customFormat="false" ht="15" hidden="false" customHeight="false" outlineLevel="0" collapsed="false">
      <c r="A75" s="15"/>
      <c r="B75" s="14"/>
      <c r="C75" s="14"/>
      <c r="D75" s="16"/>
      <c r="E75" s="14"/>
      <c r="F75" s="17" t="str">
        <f aca="false">IF($D75="","",IF(Configuración!$B$10="Sí",$D75/(1+Configuración!$B$8),$D75))</f>
        <v/>
      </c>
      <c r="G75" s="17" t="str">
        <f aca="false">IF($D75="","",F75*Configuración!$B$8)</f>
        <v/>
      </c>
      <c r="H75" s="17" t="str">
        <f aca="false">IF($D75="","",F75+G75)</f>
        <v/>
      </c>
      <c r="I75" s="17" t="str">
        <f aca="false">IF($D75="","",F75*Configuración!$B$9)</f>
        <v/>
      </c>
      <c r="J75" s="17" t="str">
        <f aca="false">IF($D75="","",F75-I75)</f>
        <v/>
      </c>
      <c r="K75" s="17" t="str">
        <f aca="false">IF($D75="","",J75*Configuración!$C$4)</f>
        <v/>
      </c>
      <c r="L75" s="17" t="str">
        <f aca="false">IF($D75="","",J75*Configuración!$C$5)</f>
        <v/>
      </c>
    </row>
    <row r="76" customFormat="false" ht="15" hidden="false" customHeight="false" outlineLevel="0" collapsed="false">
      <c r="A76" s="15"/>
      <c r="B76" s="14"/>
      <c r="C76" s="14"/>
      <c r="D76" s="16"/>
      <c r="E76" s="14"/>
      <c r="F76" s="17" t="str">
        <f aca="false">IF($D76="","",IF(Configuración!$B$10="Sí",$D76/(1+Configuración!$B$8),$D76))</f>
        <v/>
      </c>
      <c r="G76" s="17" t="str">
        <f aca="false">IF($D76="","",F76*Configuración!$B$8)</f>
        <v/>
      </c>
      <c r="H76" s="17" t="str">
        <f aca="false">IF($D76="","",F76+G76)</f>
        <v/>
      </c>
      <c r="I76" s="17" t="str">
        <f aca="false">IF($D76="","",F76*Configuración!$B$9)</f>
        <v/>
      </c>
      <c r="J76" s="17" t="str">
        <f aca="false">IF($D76="","",F76-I76)</f>
        <v/>
      </c>
      <c r="K76" s="17" t="str">
        <f aca="false">IF($D76="","",J76*Configuración!$C$4)</f>
        <v/>
      </c>
      <c r="L76" s="17" t="str">
        <f aca="false">IF($D76="","",J76*Configuración!$C$5)</f>
        <v/>
      </c>
    </row>
    <row r="77" customFormat="false" ht="15" hidden="false" customHeight="false" outlineLevel="0" collapsed="false">
      <c r="A77" s="15"/>
      <c r="B77" s="14"/>
      <c r="C77" s="14"/>
      <c r="D77" s="16"/>
      <c r="E77" s="14"/>
      <c r="F77" s="17" t="str">
        <f aca="false">IF($D77="","",IF(Configuración!$B$10="Sí",$D77/(1+Configuración!$B$8),$D77))</f>
        <v/>
      </c>
      <c r="G77" s="17" t="str">
        <f aca="false">IF($D77="","",F77*Configuración!$B$8)</f>
        <v/>
      </c>
      <c r="H77" s="17" t="str">
        <f aca="false">IF($D77="","",F77+G77)</f>
        <v/>
      </c>
      <c r="I77" s="17" t="str">
        <f aca="false">IF($D77="","",F77*Configuración!$B$9)</f>
        <v/>
      </c>
      <c r="J77" s="17" t="str">
        <f aca="false">IF($D77="","",F77-I77)</f>
        <v/>
      </c>
      <c r="K77" s="17" t="str">
        <f aca="false">IF($D77="","",J77*Configuración!$C$4)</f>
        <v/>
      </c>
      <c r="L77" s="17" t="str">
        <f aca="false">IF($D77="","",J77*Configuración!$C$5)</f>
        <v/>
      </c>
    </row>
    <row r="78" customFormat="false" ht="15" hidden="false" customHeight="false" outlineLevel="0" collapsed="false">
      <c r="A78" s="15"/>
      <c r="B78" s="14"/>
      <c r="C78" s="14"/>
      <c r="D78" s="16"/>
      <c r="E78" s="14"/>
      <c r="F78" s="17" t="str">
        <f aca="false">IF($D78="","",IF(Configuración!$B$10="Sí",$D78/(1+Configuración!$B$8),$D78))</f>
        <v/>
      </c>
      <c r="G78" s="17" t="str">
        <f aca="false">IF($D78="","",F78*Configuración!$B$8)</f>
        <v/>
      </c>
      <c r="H78" s="17" t="str">
        <f aca="false">IF($D78="","",F78+G78)</f>
        <v/>
      </c>
      <c r="I78" s="17" t="str">
        <f aca="false">IF($D78="","",F78*Configuración!$B$9)</f>
        <v/>
      </c>
      <c r="J78" s="17" t="str">
        <f aca="false">IF($D78="","",F78-I78)</f>
        <v/>
      </c>
      <c r="K78" s="17" t="str">
        <f aca="false">IF($D78="","",J78*Configuración!$C$4)</f>
        <v/>
      </c>
      <c r="L78" s="17" t="str">
        <f aca="false">IF($D78="","",J78*Configuración!$C$5)</f>
        <v/>
      </c>
    </row>
    <row r="79" customFormat="false" ht="15" hidden="false" customHeight="false" outlineLevel="0" collapsed="false">
      <c r="A79" s="15"/>
      <c r="B79" s="14"/>
      <c r="C79" s="14"/>
      <c r="D79" s="16"/>
      <c r="E79" s="14"/>
      <c r="F79" s="17" t="str">
        <f aca="false">IF($D79="","",IF(Configuración!$B$10="Sí",$D79/(1+Configuración!$B$8),$D79))</f>
        <v/>
      </c>
      <c r="G79" s="17" t="str">
        <f aca="false">IF($D79="","",F79*Configuración!$B$8)</f>
        <v/>
      </c>
      <c r="H79" s="17" t="str">
        <f aca="false">IF($D79="","",F79+G79)</f>
        <v/>
      </c>
      <c r="I79" s="17" t="str">
        <f aca="false">IF($D79="","",F79*Configuración!$B$9)</f>
        <v/>
      </c>
      <c r="J79" s="17" t="str">
        <f aca="false">IF($D79="","",F79-I79)</f>
        <v/>
      </c>
      <c r="K79" s="17" t="str">
        <f aca="false">IF($D79="","",J79*Configuración!$C$4)</f>
        <v/>
      </c>
      <c r="L79" s="17" t="str">
        <f aca="false">IF($D79="","",J79*Configuración!$C$5)</f>
        <v/>
      </c>
    </row>
    <row r="80" customFormat="false" ht="15" hidden="false" customHeight="false" outlineLevel="0" collapsed="false">
      <c r="A80" s="15"/>
      <c r="B80" s="14"/>
      <c r="C80" s="14"/>
      <c r="D80" s="16"/>
      <c r="E80" s="14"/>
      <c r="F80" s="17" t="str">
        <f aca="false">IF($D80="","",IF(Configuración!$B$10="Sí",$D80/(1+Configuración!$B$8),$D80))</f>
        <v/>
      </c>
      <c r="G80" s="17" t="str">
        <f aca="false">IF($D80="","",F80*Configuración!$B$8)</f>
        <v/>
      </c>
      <c r="H80" s="17" t="str">
        <f aca="false">IF($D80="","",F80+G80)</f>
        <v/>
      </c>
      <c r="I80" s="17" t="str">
        <f aca="false">IF($D80="","",F80*Configuración!$B$9)</f>
        <v/>
      </c>
      <c r="J80" s="17" t="str">
        <f aca="false">IF($D80="","",F80-I80)</f>
        <v/>
      </c>
      <c r="K80" s="17" t="str">
        <f aca="false">IF($D80="","",J80*Configuración!$C$4)</f>
        <v/>
      </c>
      <c r="L80" s="17" t="str">
        <f aca="false">IF($D80="","",J80*Configuración!$C$5)</f>
        <v/>
      </c>
    </row>
    <row r="81" customFormat="false" ht="15" hidden="false" customHeight="false" outlineLevel="0" collapsed="false">
      <c r="A81" s="15"/>
      <c r="B81" s="14"/>
      <c r="C81" s="14"/>
      <c r="D81" s="16"/>
      <c r="E81" s="14"/>
      <c r="F81" s="17" t="str">
        <f aca="false">IF($D81="","",IF(Configuración!$B$10="Sí",$D81/(1+Configuración!$B$8),$D81))</f>
        <v/>
      </c>
      <c r="G81" s="17" t="str">
        <f aca="false">IF($D81="","",F81*Configuración!$B$8)</f>
        <v/>
      </c>
      <c r="H81" s="17" t="str">
        <f aca="false">IF($D81="","",F81+G81)</f>
        <v/>
      </c>
      <c r="I81" s="17" t="str">
        <f aca="false">IF($D81="","",F81*Configuración!$B$9)</f>
        <v/>
      </c>
      <c r="J81" s="17" t="str">
        <f aca="false">IF($D81="","",F81-I81)</f>
        <v/>
      </c>
      <c r="K81" s="17" t="str">
        <f aca="false">IF($D81="","",J81*Configuración!$C$4)</f>
        <v/>
      </c>
      <c r="L81" s="17" t="str">
        <f aca="false">IF($D81="","",J81*Configuración!$C$5)</f>
        <v/>
      </c>
    </row>
    <row r="82" customFormat="false" ht="15" hidden="false" customHeight="false" outlineLevel="0" collapsed="false">
      <c r="A82" s="15"/>
      <c r="B82" s="14"/>
      <c r="C82" s="14"/>
      <c r="D82" s="16"/>
      <c r="E82" s="14"/>
      <c r="F82" s="17" t="str">
        <f aca="false">IF($D82="","",IF(Configuración!$B$10="Sí",$D82/(1+Configuración!$B$8),$D82))</f>
        <v/>
      </c>
      <c r="G82" s="17" t="str">
        <f aca="false">IF($D82="","",F82*Configuración!$B$8)</f>
        <v/>
      </c>
      <c r="H82" s="17" t="str">
        <f aca="false">IF($D82="","",F82+G82)</f>
        <v/>
      </c>
      <c r="I82" s="17" t="str">
        <f aca="false">IF($D82="","",F82*Configuración!$B$9)</f>
        <v/>
      </c>
      <c r="J82" s="17" t="str">
        <f aca="false">IF($D82="","",F82-I82)</f>
        <v/>
      </c>
      <c r="K82" s="17" t="str">
        <f aca="false">IF($D82="","",J82*Configuración!$C$4)</f>
        <v/>
      </c>
      <c r="L82" s="17" t="str">
        <f aca="false">IF($D82="","",J82*Configuración!$C$5)</f>
        <v/>
      </c>
    </row>
    <row r="83" customFormat="false" ht="15" hidden="false" customHeight="false" outlineLevel="0" collapsed="false">
      <c r="A83" s="15"/>
      <c r="B83" s="14"/>
      <c r="C83" s="14"/>
      <c r="D83" s="16"/>
      <c r="E83" s="14"/>
      <c r="F83" s="17" t="str">
        <f aca="false">IF($D83="","",IF(Configuración!$B$10="Sí",$D83/(1+Configuración!$B$8),$D83))</f>
        <v/>
      </c>
      <c r="G83" s="17" t="str">
        <f aca="false">IF($D83="","",F83*Configuración!$B$8)</f>
        <v/>
      </c>
      <c r="H83" s="17" t="str">
        <f aca="false">IF($D83="","",F83+G83)</f>
        <v/>
      </c>
      <c r="I83" s="17" t="str">
        <f aca="false">IF($D83="","",F83*Configuración!$B$9)</f>
        <v/>
      </c>
      <c r="J83" s="17" t="str">
        <f aca="false">IF($D83="","",F83-I83)</f>
        <v/>
      </c>
      <c r="K83" s="17" t="str">
        <f aca="false">IF($D83="","",J83*Configuración!$C$4)</f>
        <v/>
      </c>
      <c r="L83" s="17" t="str">
        <f aca="false">IF($D83="","",J83*Configuración!$C$5)</f>
        <v/>
      </c>
    </row>
    <row r="84" customFormat="false" ht="15" hidden="false" customHeight="false" outlineLevel="0" collapsed="false">
      <c r="A84" s="15"/>
      <c r="B84" s="14"/>
      <c r="C84" s="14"/>
      <c r="D84" s="16"/>
      <c r="E84" s="14"/>
      <c r="F84" s="17" t="str">
        <f aca="false">IF($D84="","",IF(Configuración!$B$10="Sí",$D84/(1+Configuración!$B$8),$D84))</f>
        <v/>
      </c>
      <c r="G84" s="17" t="str">
        <f aca="false">IF($D84="","",F84*Configuración!$B$8)</f>
        <v/>
      </c>
      <c r="H84" s="17" t="str">
        <f aca="false">IF($D84="","",F84+G84)</f>
        <v/>
      </c>
      <c r="I84" s="17" t="str">
        <f aca="false">IF($D84="","",F84*Configuración!$B$9)</f>
        <v/>
      </c>
      <c r="J84" s="17" t="str">
        <f aca="false">IF($D84="","",F84-I84)</f>
        <v/>
      </c>
      <c r="K84" s="17" t="str">
        <f aca="false">IF($D84="","",J84*Configuración!$C$4)</f>
        <v/>
      </c>
      <c r="L84" s="17" t="str">
        <f aca="false">IF($D84="","",J84*Configuración!$C$5)</f>
        <v/>
      </c>
    </row>
    <row r="85" customFormat="false" ht="15" hidden="false" customHeight="false" outlineLevel="0" collapsed="false">
      <c r="A85" s="15"/>
      <c r="B85" s="14"/>
      <c r="C85" s="14"/>
      <c r="D85" s="16"/>
      <c r="E85" s="14"/>
      <c r="F85" s="17" t="str">
        <f aca="false">IF($D85="","",IF(Configuración!$B$10="Sí",$D85/(1+Configuración!$B$8),$D85))</f>
        <v/>
      </c>
      <c r="G85" s="17" t="str">
        <f aca="false">IF($D85="","",F85*Configuración!$B$8)</f>
        <v/>
      </c>
      <c r="H85" s="17" t="str">
        <f aca="false">IF($D85="","",F85+G85)</f>
        <v/>
      </c>
      <c r="I85" s="17" t="str">
        <f aca="false">IF($D85="","",F85*Configuración!$B$9)</f>
        <v/>
      </c>
      <c r="J85" s="17" t="str">
        <f aca="false">IF($D85="","",F85-I85)</f>
        <v/>
      </c>
      <c r="K85" s="17" t="str">
        <f aca="false">IF($D85="","",J85*Configuración!$C$4)</f>
        <v/>
      </c>
      <c r="L85" s="17" t="str">
        <f aca="false">IF($D85="","",J85*Configuración!$C$5)</f>
        <v/>
      </c>
    </row>
    <row r="86" customFormat="false" ht="15" hidden="false" customHeight="false" outlineLevel="0" collapsed="false">
      <c r="A86" s="15"/>
      <c r="B86" s="14"/>
      <c r="C86" s="14"/>
      <c r="D86" s="16"/>
      <c r="E86" s="14"/>
      <c r="F86" s="17" t="str">
        <f aca="false">IF($D86="","",IF(Configuración!$B$10="Sí",$D86/(1+Configuración!$B$8),$D86))</f>
        <v/>
      </c>
      <c r="G86" s="17" t="str">
        <f aca="false">IF($D86="","",F86*Configuración!$B$8)</f>
        <v/>
      </c>
      <c r="H86" s="17" t="str">
        <f aca="false">IF($D86="","",F86+G86)</f>
        <v/>
      </c>
      <c r="I86" s="17" t="str">
        <f aca="false">IF($D86="","",F86*Configuración!$B$9)</f>
        <v/>
      </c>
      <c r="J86" s="17" t="str">
        <f aca="false">IF($D86="","",F86-I86)</f>
        <v/>
      </c>
      <c r="K86" s="17" t="str">
        <f aca="false">IF($D86="","",J86*Configuración!$C$4)</f>
        <v/>
      </c>
      <c r="L86" s="17" t="str">
        <f aca="false">IF($D86="","",J86*Configuración!$C$5)</f>
        <v/>
      </c>
    </row>
    <row r="87" customFormat="false" ht="15" hidden="false" customHeight="false" outlineLevel="0" collapsed="false">
      <c r="A87" s="15"/>
      <c r="B87" s="14"/>
      <c r="C87" s="14"/>
      <c r="D87" s="16"/>
      <c r="E87" s="14"/>
      <c r="F87" s="17" t="str">
        <f aca="false">IF($D87="","",IF(Configuración!$B$10="Sí",$D87/(1+Configuración!$B$8),$D87))</f>
        <v/>
      </c>
      <c r="G87" s="17" t="str">
        <f aca="false">IF($D87="","",F87*Configuración!$B$8)</f>
        <v/>
      </c>
      <c r="H87" s="17" t="str">
        <f aca="false">IF($D87="","",F87+G87)</f>
        <v/>
      </c>
      <c r="I87" s="17" t="str">
        <f aca="false">IF($D87="","",F87*Configuración!$B$9)</f>
        <v/>
      </c>
      <c r="J87" s="17" t="str">
        <f aca="false">IF($D87="","",F87-I87)</f>
        <v/>
      </c>
      <c r="K87" s="17" t="str">
        <f aca="false">IF($D87="","",J87*Configuración!$C$4)</f>
        <v/>
      </c>
      <c r="L87" s="17" t="str">
        <f aca="false">IF($D87="","",J87*Configuración!$C$5)</f>
        <v/>
      </c>
    </row>
    <row r="88" customFormat="false" ht="15" hidden="false" customHeight="false" outlineLevel="0" collapsed="false">
      <c r="A88" s="15"/>
      <c r="B88" s="14"/>
      <c r="C88" s="14"/>
      <c r="D88" s="16"/>
      <c r="E88" s="14"/>
      <c r="F88" s="17" t="str">
        <f aca="false">IF($D88="","",IF(Configuración!$B$10="Sí",$D88/(1+Configuración!$B$8),$D88))</f>
        <v/>
      </c>
      <c r="G88" s="17" t="str">
        <f aca="false">IF($D88="","",F88*Configuración!$B$8)</f>
        <v/>
      </c>
      <c r="H88" s="17" t="str">
        <f aca="false">IF($D88="","",F88+G88)</f>
        <v/>
      </c>
      <c r="I88" s="17" t="str">
        <f aca="false">IF($D88="","",F88*Configuración!$B$9)</f>
        <v/>
      </c>
      <c r="J88" s="17" t="str">
        <f aca="false">IF($D88="","",F88-I88)</f>
        <v/>
      </c>
      <c r="K88" s="17" t="str">
        <f aca="false">IF($D88="","",J88*Configuración!$C$4)</f>
        <v/>
      </c>
      <c r="L88" s="17" t="str">
        <f aca="false">IF($D88="","",J88*Configuración!$C$5)</f>
        <v/>
      </c>
    </row>
    <row r="89" customFormat="false" ht="15" hidden="false" customHeight="false" outlineLevel="0" collapsed="false">
      <c r="A89" s="15"/>
      <c r="B89" s="14"/>
      <c r="C89" s="14"/>
      <c r="D89" s="16"/>
      <c r="E89" s="14"/>
      <c r="F89" s="17" t="str">
        <f aca="false">IF($D89="","",IF(Configuración!$B$10="Sí",$D89/(1+Configuración!$B$8),$D89))</f>
        <v/>
      </c>
      <c r="G89" s="17" t="str">
        <f aca="false">IF($D89="","",F89*Configuración!$B$8)</f>
        <v/>
      </c>
      <c r="H89" s="17" t="str">
        <f aca="false">IF($D89="","",F89+G89)</f>
        <v/>
      </c>
      <c r="I89" s="17" t="str">
        <f aca="false">IF($D89="","",F89*Configuración!$B$9)</f>
        <v/>
      </c>
      <c r="J89" s="17" t="str">
        <f aca="false">IF($D89="","",F89-I89)</f>
        <v/>
      </c>
      <c r="K89" s="17" t="str">
        <f aca="false">IF($D89="","",J89*Configuración!$C$4)</f>
        <v/>
      </c>
      <c r="L89" s="17" t="str">
        <f aca="false">IF($D89="","",J89*Configuración!$C$5)</f>
        <v/>
      </c>
    </row>
    <row r="90" customFormat="false" ht="15" hidden="false" customHeight="false" outlineLevel="0" collapsed="false">
      <c r="A90" s="15"/>
      <c r="B90" s="14"/>
      <c r="C90" s="14"/>
      <c r="D90" s="16"/>
      <c r="E90" s="14"/>
      <c r="F90" s="17" t="str">
        <f aca="false">IF($D90="","",IF(Configuración!$B$10="Sí",$D90/(1+Configuración!$B$8),$D90))</f>
        <v/>
      </c>
      <c r="G90" s="17" t="str">
        <f aca="false">IF($D90="","",F90*Configuración!$B$8)</f>
        <v/>
      </c>
      <c r="H90" s="17" t="str">
        <f aca="false">IF($D90="","",F90+G90)</f>
        <v/>
      </c>
      <c r="I90" s="17" t="str">
        <f aca="false">IF($D90="","",F90*Configuración!$B$9)</f>
        <v/>
      </c>
      <c r="J90" s="17" t="str">
        <f aca="false">IF($D90="","",F90-I90)</f>
        <v/>
      </c>
      <c r="K90" s="17" t="str">
        <f aca="false">IF($D90="","",J90*Configuración!$C$4)</f>
        <v/>
      </c>
      <c r="L90" s="17" t="str">
        <f aca="false">IF($D90="","",J90*Configuración!$C$5)</f>
        <v/>
      </c>
    </row>
    <row r="91" customFormat="false" ht="15" hidden="false" customHeight="false" outlineLevel="0" collapsed="false">
      <c r="A91" s="15"/>
      <c r="B91" s="14"/>
      <c r="C91" s="14"/>
      <c r="D91" s="16"/>
      <c r="E91" s="14"/>
      <c r="F91" s="17" t="str">
        <f aca="false">IF($D91="","",IF(Configuración!$B$10="Sí",$D91/(1+Configuración!$B$8),$D91))</f>
        <v/>
      </c>
      <c r="G91" s="17" t="str">
        <f aca="false">IF($D91="","",F91*Configuración!$B$8)</f>
        <v/>
      </c>
      <c r="H91" s="17" t="str">
        <f aca="false">IF($D91="","",F91+G91)</f>
        <v/>
      </c>
      <c r="I91" s="17" t="str">
        <f aca="false">IF($D91="","",F91*Configuración!$B$9)</f>
        <v/>
      </c>
      <c r="J91" s="17" t="str">
        <f aca="false">IF($D91="","",F91-I91)</f>
        <v/>
      </c>
      <c r="K91" s="17" t="str">
        <f aca="false">IF($D91="","",J91*Configuración!$C$4)</f>
        <v/>
      </c>
      <c r="L91" s="17" t="str">
        <f aca="false">IF($D91="","",J91*Configuración!$C$5)</f>
        <v/>
      </c>
    </row>
    <row r="92" customFormat="false" ht="15" hidden="false" customHeight="false" outlineLevel="0" collapsed="false">
      <c r="A92" s="15"/>
      <c r="B92" s="14"/>
      <c r="C92" s="14"/>
      <c r="D92" s="16"/>
      <c r="E92" s="14"/>
      <c r="F92" s="17" t="str">
        <f aca="false">IF($D92="","",IF(Configuración!$B$10="Sí",$D92/(1+Configuración!$B$8),$D92))</f>
        <v/>
      </c>
      <c r="G92" s="17" t="str">
        <f aca="false">IF($D92="","",F92*Configuración!$B$8)</f>
        <v/>
      </c>
      <c r="H92" s="17" t="str">
        <f aca="false">IF($D92="","",F92+G92)</f>
        <v/>
      </c>
      <c r="I92" s="17" t="str">
        <f aca="false">IF($D92="","",F92*Configuración!$B$9)</f>
        <v/>
      </c>
      <c r="J92" s="17" t="str">
        <f aca="false">IF($D92="","",F92-I92)</f>
        <v/>
      </c>
      <c r="K92" s="17" t="str">
        <f aca="false">IF($D92="","",J92*Configuración!$C$4)</f>
        <v/>
      </c>
      <c r="L92" s="17" t="str">
        <f aca="false">IF($D92="","",J92*Configuración!$C$5)</f>
        <v/>
      </c>
    </row>
    <row r="93" customFormat="false" ht="15" hidden="false" customHeight="false" outlineLevel="0" collapsed="false">
      <c r="A93" s="15"/>
      <c r="B93" s="14"/>
      <c r="C93" s="14"/>
      <c r="D93" s="16"/>
      <c r="E93" s="14"/>
      <c r="F93" s="17" t="str">
        <f aca="false">IF($D93="","",IF(Configuración!$B$10="Sí",$D93/(1+Configuración!$B$8),$D93))</f>
        <v/>
      </c>
      <c r="G93" s="17" t="str">
        <f aca="false">IF($D93="","",F93*Configuración!$B$8)</f>
        <v/>
      </c>
      <c r="H93" s="17" t="str">
        <f aca="false">IF($D93="","",F93+G93)</f>
        <v/>
      </c>
      <c r="I93" s="17" t="str">
        <f aca="false">IF($D93="","",F93*Configuración!$B$9)</f>
        <v/>
      </c>
      <c r="J93" s="17" t="str">
        <f aca="false">IF($D93="","",F93-I93)</f>
        <v/>
      </c>
      <c r="K93" s="17" t="str">
        <f aca="false">IF($D93="","",J93*Configuración!$C$4)</f>
        <v/>
      </c>
      <c r="L93" s="17" t="str">
        <f aca="false">IF($D93="","",J93*Configuración!$C$5)</f>
        <v/>
      </c>
    </row>
    <row r="94" customFormat="false" ht="15" hidden="false" customHeight="false" outlineLevel="0" collapsed="false">
      <c r="A94" s="15"/>
      <c r="B94" s="14"/>
      <c r="C94" s="14"/>
      <c r="D94" s="16"/>
      <c r="E94" s="14"/>
      <c r="F94" s="17" t="str">
        <f aca="false">IF($D94="","",IF(Configuración!$B$10="Sí",$D94/(1+Configuración!$B$8),$D94))</f>
        <v/>
      </c>
      <c r="G94" s="17" t="str">
        <f aca="false">IF($D94="","",F94*Configuración!$B$8)</f>
        <v/>
      </c>
      <c r="H94" s="17" t="str">
        <f aca="false">IF($D94="","",F94+G94)</f>
        <v/>
      </c>
      <c r="I94" s="17" t="str">
        <f aca="false">IF($D94="","",F94*Configuración!$B$9)</f>
        <v/>
      </c>
      <c r="J94" s="17" t="str">
        <f aca="false">IF($D94="","",F94-I94)</f>
        <v/>
      </c>
      <c r="K94" s="17" t="str">
        <f aca="false">IF($D94="","",J94*Configuración!$C$4)</f>
        <v/>
      </c>
      <c r="L94" s="17" t="str">
        <f aca="false">IF($D94="","",J94*Configuración!$C$5)</f>
        <v/>
      </c>
    </row>
    <row r="95" customFormat="false" ht="15" hidden="false" customHeight="false" outlineLevel="0" collapsed="false">
      <c r="A95" s="15"/>
      <c r="B95" s="14"/>
      <c r="C95" s="14"/>
      <c r="D95" s="16"/>
      <c r="E95" s="14"/>
      <c r="F95" s="17" t="str">
        <f aca="false">IF($D95="","",IF(Configuración!$B$10="Sí",$D95/(1+Configuración!$B$8),$D95))</f>
        <v/>
      </c>
      <c r="G95" s="17" t="str">
        <f aca="false">IF($D95="","",F95*Configuración!$B$8)</f>
        <v/>
      </c>
      <c r="H95" s="17" t="str">
        <f aca="false">IF($D95="","",F95+G95)</f>
        <v/>
      </c>
      <c r="I95" s="17" t="str">
        <f aca="false">IF($D95="","",F95*Configuración!$B$9)</f>
        <v/>
      </c>
      <c r="J95" s="17" t="str">
        <f aca="false">IF($D95="","",F95-I95)</f>
        <v/>
      </c>
      <c r="K95" s="17" t="str">
        <f aca="false">IF($D95="","",J95*Configuración!$C$4)</f>
        <v/>
      </c>
      <c r="L95" s="17" t="str">
        <f aca="false">IF($D95="","",J95*Configuración!$C$5)</f>
        <v/>
      </c>
    </row>
    <row r="96" customFormat="false" ht="15" hidden="false" customHeight="false" outlineLevel="0" collapsed="false">
      <c r="A96" s="15"/>
      <c r="B96" s="14"/>
      <c r="C96" s="14"/>
      <c r="D96" s="16"/>
      <c r="E96" s="14"/>
      <c r="F96" s="17" t="str">
        <f aca="false">IF($D96="","",IF(Configuración!$B$10="Sí",$D96/(1+Configuración!$B$8),$D96))</f>
        <v/>
      </c>
      <c r="G96" s="17" t="str">
        <f aca="false">IF($D96="","",F96*Configuración!$B$8)</f>
        <v/>
      </c>
      <c r="H96" s="17" t="str">
        <f aca="false">IF($D96="","",F96+G96)</f>
        <v/>
      </c>
      <c r="I96" s="17" t="str">
        <f aca="false">IF($D96="","",F96*Configuración!$B$9)</f>
        <v/>
      </c>
      <c r="J96" s="17" t="str">
        <f aca="false">IF($D96="","",F96-I96)</f>
        <v/>
      </c>
      <c r="K96" s="17" t="str">
        <f aca="false">IF($D96="","",J96*Configuración!$C$4)</f>
        <v/>
      </c>
      <c r="L96" s="17" t="str">
        <f aca="false">IF($D96="","",J96*Configuración!$C$5)</f>
        <v/>
      </c>
    </row>
    <row r="97" customFormat="false" ht="15" hidden="false" customHeight="false" outlineLevel="0" collapsed="false">
      <c r="A97" s="15"/>
      <c r="B97" s="14"/>
      <c r="C97" s="14"/>
      <c r="D97" s="16"/>
      <c r="E97" s="14"/>
      <c r="F97" s="17" t="str">
        <f aca="false">IF($D97="","",IF(Configuración!$B$10="Sí",$D97/(1+Configuración!$B$8),$D97))</f>
        <v/>
      </c>
      <c r="G97" s="17" t="str">
        <f aca="false">IF($D97="","",F97*Configuración!$B$8)</f>
        <v/>
      </c>
      <c r="H97" s="17" t="str">
        <f aca="false">IF($D97="","",F97+G97)</f>
        <v/>
      </c>
      <c r="I97" s="17" t="str">
        <f aca="false">IF($D97="","",F97*Configuración!$B$9)</f>
        <v/>
      </c>
      <c r="J97" s="17" t="str">
        <f aca="false">IF($D97="","",F97-I97)</f>
        <v/>
      </c>
      <c r="K97" s="17" t="str">
        <f aca="false">IF($D97="","",J97*Configuración!$C$4)</f>
        <v/>
      </c>
      <c r="L97" s="17" t="str">
        <f aca="false">IF($D97="","",J97*Configuración!$C$5)</f>
        <v/>
      </c>
    </row>
    <row r="98" customFormat="false" ht="15" hidden="false" customHeight="false" outlineLevel="0" collapsed="false">
      <c r="A98" s="15"/>
      <c r="B98" s="14"/>
      <c r="C98" s="14"/>
      <c r="D98" s="16"/>
      <c r="E98" s="14"/>
      <c r="F98" s="17" t="str">
        <f aca="false">IF($D98="","",IF(Configuración!$B$10="Sí",$D98/(1+Configuración!$B$8),$D98))</f>
        <v/>
      </c>
      <c r="G98" s="17" t="str">
        <f aca="false">IF($D98="","",F98*Configuración!$B$8)</f>
        <v/>
      </c>
      <c r="H98" s="17" t="str">
        <f aca="false">IF($D98="","",F98+G98)</f>
        <v/>
      </c>
      <c r="I98" s="17" t="str">
        <f aca="false">IF($D98="","",F98*Configuración!$B$9)</f>
        <v/>
      </c>
      <c r="J98" s="17" t="str">
        <f aca="false">IF($D98="","",F98-I98)</f>
        <v/>
      </c>
      <c r="K98" s="17" t="str">
        <f aca="false">IF($D98="","",J98*Configuración!$C$4)</f>
        <v/>
      </c>
      <c r="L98" s="17" t="str">
        <f aca="false">IF($D98="","",J98*Configuración!$C$5)</f>
        <v/>
      </c>
    </row>
    <row r="99" customFormat="false" ht="15" hidden="false" customHeight="false" outlineLevel="0" collapsed="false">
      <c r="A99" s="15"/>
      <c r="B99" s="14"/>
      <c r="C99" s="14"/>
      <c r="D99" s="16"/>
      <c r="E99" s="14"/>
      <c r="F99" s="17" t="str">
        <f aca="false">IF($D99="","",IF(Configuración!$B$10="Sí",$D99/(1+Configuración!$B$8),$D99))</f>
        <v/>
      </c>
      <c r="G99" s="17" t="str">
        <f aca="false">IF($D99="","",F99*Configuración!$B$8)</f>
        <v/>
      </c>
      <c r="H99" s="17" t="str">
        <f aca="false">IF($D99="","",F99+G99)</f>
        <v/>
      </c>
      <c r="I99" s="17" t="str">
        <f aca="false">IF($D99="","",F99*Configuración!$B$9)</f>
        <v/>
      </c>
      <c r="J99" s="17" t="str">
        <f aca="false">IF($D99="","",F99-I99)</f>
        <v/>
      </c>
      <c r="K99" s="17" t="str">
        <f aca="false">IF($D99="","",J99*Configuración!$C$4)</f>
        <v/>
      </c>
      <c r="L99" s="17" t="str">
        <f aca="false">IF($D99="","",J99*Configuración!$C$5)</f>
        <v/>
      </c>
    </row>
    <row r="100" customFormat="false" ht="15" hidden="false" customHeight="false" outlineLevel="0" collapsed="false">
      <c r="A100" s="15"/>
      <c r="B100" s="14"/>
      <c r="C100" s="14"/>
      <c r="D100" s="16"/>
      <c r="E100" s="14"/>
      <c r="F100" s="17" t="str">
        <f aca="false">IF($D100="","",IF(Configuración!$B$10="Sí",$D100/(1+Configuración!$B$8),$D100))</f>
        <v/>
      </c>
      <c r="G100" s="17" t="str">
        <f aca="false">IF($D100="","",F100*Configuración!$B$8)</f>
        <v/>
      </c>
      <c r="H100" s="17" t="str">
        <f aca="false">IF($D100="","",F100+G100)</f>
        <v/>
      </c>
      <c r="I100" s="17" t="str">
        <f aca="false">IF($D100="","",F100*Configuración!$B$9)</f>
        <v/>
      </c>
      <c r="J100" s="17" t="str">
        <f aca="false">IF($D100="","",F100-I100)</f>
        <v/>
      </c>
      <c r="K100" s="17" t="str">
        <f aca="false">IF($D100="","",J100*Configuración!$C$4)</f>
        <v/>
      </c>
      <c r="L100" s="17" t="str">
        <f aca="false">IF($D100="","",J100*Configuración!$C$5)</f>
        <v/>
      </c>
    </row>
    <row r="101" customFormat="false" ht="15" hidden="false" customHeight="false" outlineLevel="0" collapsed="false">
      <c r="A101" s="15"/>
      <c r="B101" s="14"/>
      <c r="C101" s="14"/>
      <c r="D101" s="16"/>
      <c r="E101" s="14"/>
      <c r="F101" s="17" t="str">
        <f aca="false">IF($D101="","",IF(Configuración!$B$10="Sí",$D101/(1+Configuración!$B$8),$D101))</f>
        <v/>
      </c>
      <c r="G101" s="17" t="str">
        <f aca="false">IF($D101="","",F101*Configuración!$B$8)</f>
        <v/>
      </c>
      <c r="H101" s="17" t="str">
        <f aca="false">IF($D101="","",F101+G101)</f>
        <v/>
      </c>
      <c r="I101" s="17" t="str">
        <f aca="false">IF($D101="","",F101*Configuración!$B$9)</f>
        <v/>
      </c>
      <c r="J101" s="17" t="str">
        <f aca="false">IF($D101="","",F101-I101)</f>
        <v/>
      </c>
      <c r="K101" s="17" t="str">
        <f aca="false">IF($D101="","",J101*Configuración!$C$4)</f>
        <v/>
      </c>
      <c r="L101" s="17" t="str">
        <f aca="false">IF($D101="","",J101*Configuración!$C$5)</f>
        <v/>
      </c>
    </row>
    <row r="102" customFormat="false" ht="15" hidden="false" customHeight="false" outlineLevel="0" collapsed="false">
      <c r="A102" s="15"/>
      <c r="B102" s="14"/>
      <c r="C102" s="14"/>
      <c r="D102" s="16"/>
      <c r="E102" s="14"/>
      <c r="F102" s="17" t="str">
        <f aca="false">IF($D102="","",IF(Configuración!$B$10="Sí",$D102/(1+Configuración!$B$8),$D102))</f>
        <v/>
      </c>
      <c r="G102" s="17" t="str">
        <f aca="false">IF($D102="","",F102*Configuración!$B$8)</f>
        <v/>
      </c>
      <c r="H102" s="17" t="str">
        <f aca="false">IF($D102="","",F102+G102)</f>
        <v/>
      </c>
      <c r="I102" s="17" t="str">
        <f aca="false">IF($D102="","",F102*Configuración!$B$9)</f>
        <v/>
      </c>
      <c r="J102" s="17" t="str">
        <f aca="false">IF($D102="","",F102-I102)</f>
        <v/>
      </c>
      <c r="K102" s="17" t="str">
        <f aca="false">IF($D102="","",J102*Configuración!$C$4)</f>
        <v/>
      </c>
      <c r="L102" s="17" t="str">
        <f aca="false">IF($D102="","",J102*Configuración!$C$5)</f>
        <v/>
      </c>
    </row>
    <row r="103" customFormat="false" ht="15" hidden="false" customHeight="false" outlineLevel="0" collapsed="false">
      <c r="A103" s="15"/>
      <c r="B103" s="14"/>
      <c r="C103" s="14"/>
      <c r="D103" s="16"/>
      <c r="E103" s="14"/>
      <c r="F103" s="17" t="str">
        <f aca="false">IF($D103="","",IF(Configuración!$B$10="Sí",$D103/(1+Configuración!$B$8),$D103))</f>
        <v/>
      </c>
      <c r="G103" s="17" t="str">
        <f aca="false">IF($D103="","",F103*Configuración!$B$8)</f>
        <v/>
      </c>
      <c r="H103" s="17" t="str">
        <f aca="false">IF($D103="","",F103+G103)</f>
        <v/>
      </c>
      <c r="I103" s="17" t="str">
        <f aca="false">IF($D103="","",F103*Configuración!$B$9)</f>
        <v/>
      </c>
      <c r="J103" s="17" t="str">
        <f aca="false">IF($D103="","",F103-I103)</f>
        <v/>
      </c>
      <c r="K103" s="17" t="str">
        <f aca="false">IF($D103="","",J103*Configuración!$C$4)</f>
        <v/>
      </c>
      <c r="L103" s="17" t="str">
        <f aca="false">IF($D103="","",J103*Configuración!$C$5)</f>
        <v/>
      </c>
    </row>
    <row r="104" customFormat="false" ht="15" hidden="false" customHeight="false" outlineLevel="0" collapsed="false">
      <c r="A104" s="15"/>
      <c r="B104" s="14"/>
      <c r="C104" s="14"/>
      <c r="D104" s="16"/>
      <c r="E104" s="14"/>
      <c r="F104" s="17" t="str">
        <f aca="false">IF($D104="","",IF(Configuración!$B$10="Sí",$D104/(1+Configuración!$B$8),$D104))</f>
        <v/>
      </c>
      <c r="G104" s="17" t="str">
        <f aca="false">IF($D104="","",F104*Configuración!$B$8)</f>
        <v/>
      </c>
      <c r="H104" s="17" t="str">
        <f aca="false">IF($D104="","",F104+G104)</f>
        <v/>
      </c>
      <c r="I104" s="17" t="str">
        <f aca="false">IF($D104="","",F104*Configuración!$B$9)</f>
        <v/>
      </c>
      <c r="J104" s="17" t="str">
        <f aca="false">IF($D104="","",F104-I104)</f>
        <v/>
      </c>
      <c r="K104" s="17" t="str">
        <f aca="false">IF($D104="","",J104*Configuración!$C$4)</f>
        <v/>
      </c>
      <c r="L104" s="17" t="str">
        <f aca="false">IF($D104="","",J104*Configuración!$C$5)</f>
        <v/>
      </c>
    </row>
    <row r="105" customFormat="false" ht="15" hidden="false" customHeight="false" outlineLevel="0" collapsed="false">
      <c r="A105" s="15"/>
      <c r="B105" s="14"/>
      <c r="C105" s="14"/>
      <c r="D105" s="16"/>
      <c r="E105" s="14"/>
      <c r="F105" s="17" t="str">
        <f aca="false">IF($D105="","",IF(Configuración!$B$10="Sí",$D105/(1+Configuración!$B$8),$D105))</f>
        <v/>
      </c>
      <c r="G105" s="17" t="str">
        <f aca="false">IF($D105="","",F105*Configuración!$B$8)</f>
        <v/>
      </c>
      <c r="H105" s="17" t="str">
        <f aca="false">IF($D105="","",F105+G105)</f>
        <v/>
      </c>
      <c r="I105" s="17" t="str">
        <f aca="false">IF($D105="","",F105*Configuración!$B$9)</f>
        <v/>
      </c>
      <c r="J105" s="17" t="str">
        <f aca="false">IF($D105="","",F105-I105)</f>
        <v/>
      </c>
      <c r="K105" s="17" t="str">
        <f aca="false">IF($D105="","",J105*Configuración!$C$4)</f>
        <v/>
      </c>
      <c r="L105" s="17" t="str">
        <f aca="false">IF($D105="","",J105*Configuración!$C$5)</f>
        <v/>
      </c>
    </row>
    <row r="106" customFormat="false" ht="15" hidden="false" customHeight="false" outlineLevel="0" collapsed="false">
      <c r="A106" s="15"/>
      <c r="B106" s="14"/>
      <c r="C106" s="14"/>
      <c r="D106" s="16"/>
      <c r="E106" s="14"/>
      <c r="F106" s="17" t="str">
        <f aca="false">IF($D106="","",IF(Configuración!$B$10="Sí",$D106/(1+Configuración!$B$8),$D106))</f>
        <v/>
      </c>
      <c r="G106" s="17" t="str">
        <f aca="false">IF($D106="","",F106*Configuración!$B$8)</f>
        <v/>
      </c>
      <c r="H106" s="17" t="str">
        <f aca="false">IF($D106="","",F106+G106)</f>
        <v/>
      </c>
      <c r="I106" s="17" t="str">
        <f aca="false">IF($D106="","",F106*Configuración!$B$9)</f>
        <v/>
      </c>
      <c r="J106" s="17" t="str">
        <f aca="false">IF($D106="","",F106-I106)</f>
        <v/>
      </c>
      <c r="K106" s="17" t="str">
        <f aca="false">IF($D106="","",J106*Configuración!$C$4)</f>
        <v/>
      </c>
      <c r="L106" s="17" t="str">
        <f aca="false">IF($D106="","",J106*Configuración!$C$5)</f>
        <v/>
      </c>
    </row>
    <row r="107" customFormat="false" ht="15" hidden="false" customHeight="false" outlineLevel="0" collapsed="false">
      <c r="A107" s="15"/>
      <c r="B107" s="14"/>
      <c r="C107" s="14"/>
      <c r="D107" s="16"/>
      <c r="E107" s="14"/>
      <c r="F107" s="17" t="str">
        <f aca="false">IF($D107="","",IF(Configuración!$B$10="Sí",$D107/(1+Configuración!$B$8),$D107))</f>
        <v/>
      </c>
      <c r="G107" s="17" t="str">
        <f aca="false">IF($D107="","",F107*Configuración!$B$8)</f>
        <v/>
      </c>
      <c r="H107" s="17" t="str">
        <f aca="false">IF($D107="","",F107+G107)</f>
        <v/>
      </c>
      <c r="I107" s="17" t="str">
        <f aca="false">IF($D107="","",F107*Configuración!$B$9)</f>
        <v/>
      </c>
      <c r="J107" s="17" t="str">
        <f aca="false">IF($D107="","",F107-I107)</f>
        <v/>
      </c>
      <c r="K107" s="17" t="str">
        <f aca="false">IF($D107="","",J107*Configuración!$C$4)</f>
        <v/>
      </c>
      <c r="L107" s="17" t="str">
        <f aca="false">IF($D107="","",J107*Configuración!$C$5)</f>
        <v/>
      </c>
    </row>
    <row r="108" customFormat="false" ht="15" hidden="false" customHeight="false" outlineLevel="0" collapsed="false">
      <c r="A108" s="15"/>
      <c r="B108" s="14"/>
      <c r="C108" s="14"/>
      <c r="D108" s="16"/>
      <c r="E108" s="14"/>
      <c r="F108" s="17" t="str">
        <f aca="false">IF($D108="","",IF(Configuración!$B$10="Sí",$D108/(1+Configuración!$B$8),$D108))</f>
        <v/>
      </c>
      <c r="G108" s="17" t="str">
        <f aca="false">IF($D108="","",F108*Configuración!$B$8)</f>
        <v/>
      </c>
      <c r="H108" s="17" t="str">
        <f aca="false">IF($D108="","",F108+G108)</f>
        <v/>
      </c>
      <c r="I108" s="17" t="str">
        <f aca="false">IF($D108="","",F108*Configuración!$B$9)</f>
        <v/>
      </c>
      <c r="J108" s="17" t="str">
        <f aca="false">IF($D108="","",F108-I108)</f>
        <v/>
      </c>
      <c r="K108" s="17" t="str">
        <f aca="false">IF($D108="","",J108*Configuración!$C$4)</f>
        <v/>
      </c>
      <c r="L108" s="17" t="str">
        <f aca="false">IF($D108="","",J108*Configuración!$C$5)</f>
        <v/>
      </c>
    </row>
    <row r="109" customFormat="false" ht="15" hidden="false" customHeight="false" outlineLevel="0" collapsed="false">
      <c r="A109" s="15"/>
      <c r="B109" s="14"/>
      <c r="C109" s="14"/>
      <c r="D109" s="16"/>
      <c r="E109" s="14"/>
      <c r="F109" s="17" t="str">
        <f aca="false">IF($D109="","",IF(Configuración!$B$10="Sí",$D109/(1+Configuración!$B$8),$D109))</f>
        <v/>
      </c>
      <c r="G109" s="17" t="str">
        <f aca="false">IF($D109="","",F109*Configuración!$B$8)</f>
        <v/>
      </c>
      <c r="H109" s="17" t="str">
        <f aca="false">IF($D109="","",F109+G109)</f>
        <v/>
      </c>
      <c r="I109" s="17" t="str">
        <f aca="false">IF($D109="","",F109*Configuración!$B$9)</f>
        <v/>
      </c>
      <c r="J109" s="17" t="str">
        <f aca="false">IF($D109="","",F109-I109)</f>
        <v/>
      </c>
      <c r="K109" s="17" t="str">
        <f aca="false">IF($D109="","",J109*Configuración!$C$4)</f>
        <v/>
      </c>
      <c r="L109" s="17" t="str">
        <f aca="false">IF($D109="","",J109*Configuración!$C$5)</f>
        <v/>
      </c>
    </row>
    <row r="110" customFormat="false" ht="15" hidden="false" customHeight="false" outlineLevel="0" collapsed="false">
      <c r="A110" s="15"/>
      <c r="B110" s="14"/>
      <c r="C110" s="14"/>
      <c r="D110" s="16"/>
      <c r="E110" s="14"/>
      <c r="F110" s="17" t="str">
        <f aca="false">IF($D110="","",IF(Configuración!$B$10="Sí",$D110/(1+Configuración!$B$8),$D110))</f>
        <v/>
      </c>
      <c r="G110" s="17" t="str">
        <f aca="false">IF($D110="","",F110*Configuración!$B$8)</f>
        <v/>
      </c>
      <c r="H110" s="17" t="str">
        <f aca="false">IF($D110="","",F110+G110)</f>
        <v/>
      </c>
      <c r="I110" s="17" t="str">
        <f aca="false">IF($D110="","",F110*Configuración!$B$9)</f>
        <v/>
      </c>
      <c r="J110" s="17" t="str">
        <f aca="false">IF($D110="","",F110-I110)</f>
        <v/>
      </c>
      <c r="K110" s="17" t="str">
        <f aca="false">IF($D110="","",J110*Configuración!$C$4)</f>
        <v/>
      </c>
      <c r="L110" s="17" t="str">
        <f aca="false">IF($D110="","",J110*Configuración!$C$5)</f>
        <v/>
      </c>
    </row>
    <row r="111" customFormat="false" ht="15" hidden="false" customHeight="false" outlineLevel="0" collapsed="false">
      <c r="A111" s="15"/>
      <c r="B111" s="14"/>
      <c r="C111" s="14"/>
      <c r="D111" s="16"/>
      <c r="E111" s="14"/>
      <c r="F111" s="17" t="str">
        <f aca="false">IF($D111="","",IF(Configuración!$B$10="Sí",$D111/(1+Configuración!$B$8),$D111))</f>
        <v/>
      </c>
      <c r="G111" s="17" t="str">
        <f aca="false">IF($D111="","",F111*Configuración!$B$8)</f>
        <v/>
      </c>
      <c r="H111" s="17" t="str">
        <f aca="false">IF($D111="","",F111+G111)</f>
        <v/>
      </c>
      <c r="I111" s="17" t="str">
        <f aca="false">IF($D111="","",F111*Configuración!$B$9)</f>
        <v/>
      </c>
      <c r="J111" s="17" t="str">
        <f aca="false">IF($D111="","",F111-I111)</f>
        <v/>
      </c>
      <c r="K111" s="17" t="str">
        <f aca="false">IF($D111="","",J111*Configuración!$C$4)</f>
        <v/>
      </c>
      <c r="L111" s="17" t="str">
        <f aca="false">IF($D111="","",J111*Configuración!$C$5)</f>
        <v/>
      </c>
    </row>
    <row r="112" customFormat="false" ht="15" hidden="false" customHeight="false" outlineLevel="0" collapsed="false">
      <c r="A112" s="15"/>
      <c r="B112" s="14"/>
      <c r="C112" s="14"/>
      <c r="D112" s="16"/>
      <c r="E112" s="14"/>
      <c r="F112" s="17" t="str">
        <f aca="false">IF($D112="","",IF(Configuración!$B$10="Sí",$D112/(1+Configuración!$B$8),$D112))</f>
        <v/>
      </c>
      <c r="G112" s="17" t="str">
        <f aca="false">IF($D112="","",F112*Configuración!$B$8)</f>
        <v/>
      </c>
      <c r="H112" s="17" t="str">
        <f aca="false">IF($D112="","",F112+G112)</f>
        <v/>
      </c>
      <c r="I112" s="17" t="str">
        <f aca="false">IF($D112="","",F112*Configuración!$B$9)</f>
        <v/>
      </c>
      <c r="J112" s="17" t="str">
        <f aca="false">IF($D112="","",F112-I112)</f>
        <v/>
      </c>
      <c r="K112" s="17" t="str">
        <f aca="false">IF($D112="","",J112*Configuración!$C$4)</f>
        <v/>
      </c>
      <c r="L112" s="17" t="str">
        <f aca="false">IF($D112="","",J112*Configuración!$C$5)</f>
        <v/>
      </c>
    </row>
    <row r="113" customFormat="false" ht="15" hidden="false" customHeight="false" outlineLevel="0" collapsed="false">
      <c r="A113" s="15"/>
      <c r="B113" s="14"/>
      <c r="C113" s="14"/>
      <c r="D113" s="16"/>
      <c r="E113" s="14"/>
      <c r="F113" s="17" t="str">
        <f aca="false">IF($D113="","",IF(Configuración!$B$10="Sí",$D113/(1+Configuración!$B$8),$D113))</f>
        <v/>
      </c>
      <c r="G113" s="17" t="str">
        <f aca="false">IF($D113="","",F113*Configuración!$B$8)</f>
        <v/>
      </c>
      <c r="H113" s="17" t="str">
        <f aca="false">IF($D113="","",F113+G113)</f>
        <v/>
      </c>
      <c r="I113" s="17" t="str">
        <f aca="false">IF($D113="","",F113*Configuración!$B$9)</f>
        <v/>
      </c>
      <c r="J113" s="17" t="str">
        <f aca="false">IF($D113="","",F113-I113)</f>
        <v/>
      </c>
      <c r="K113" s="17" t="str">
        <f aca="false">IF($D113="","",J113*Configuración!$C$4)</f>
        <v/>
      </c>
      <c r="L113" s="17" t="str">
        <f aca="false">IF($D113="","",J113*Configuración!$C$5)</f>
        <v/>
      </c>
    </row>
    <row r="114" customFormat="false" ht="15" hidden="false" customHeight="false" outlineLevel="0" collapsed="false">
      <c r="A114" s="15"/>
      <c r="B114" s="14"/>
      <c r="C114" s="14"/>
      <c r="D114" s="16"/>
      <c r="E114" s="14"/>
      <c r="F114" s="17" t="str">
        <f aca="false">IF($D114="","",IF(Configuración!$B$10="Sí",$D114/(1+Configuración!$B$8),$D114))</f>
        <v/>
      </c>
      <c r="G114" s="17" t="str">
        <f aca="false">IF($D114="","",F114*Configuración!$B$8)</f>
        <v/>
      </c>
      <c r="H114" s="17" t="str">
        <f aca="false">IF($D114="","",F114+G114)</f>
        <v/>
      </c>
      <c r="I114" s="17" t="str">
        <f aca="false">IF($D114="","",F114*Configuración!$B$9)</f>
        <v/>
      </c>
      <c r="J114" s="17" t="str">
        <f aca="false">IF($D114="","",F114-I114)</f>
        <v/>
      </c>
      <c r="K114" s="17" t="str">
        <f aca="false">IF($D114="","",J114*Configuración!$C$4)</f>
        <v/>
      </c>
      <c r="L114" s="17" t="str">
        <f aca="false">IF($D114="","",J114*Configuración!$C$5)</f>
        <v/>
      </c>
    </row>
    <row r="115" customFormat="false" ht="15" hidden="false" customHeight="false" outlineLevel="0" collapsed="false">
      <c r="A115" s="15"/>
      <c r="B115" s="14"/>
      <c r="C115" s="14"/>
      <c r="D115" s="16"/>
      <c r="E115" s="14"/>
      <c r="F115" s="17" t="str">
        <f aca="false">IF($D115="","",IF(Configuración!$B$10="Sí",$D115/(1+Configuración!$B$8),$D115))</f>
        <v/>
      </c>
      <c r="G115" s="17" t="str">
        <f aca="false">IF($D115="","",F115*Configuración!$B$8)</f>
        <v/>
      </c>
      <c r="H115" s="17" t="str">
        <f aca="false">IF($D115="","",F115+G115)</f>
        <v/>
      </c>
      <c r="I115" s="17" t="str">
        <f aca="false">IF($D115="","",F115*Configuración!$B$9)</f>
        <v/>
      </c>
      <c r="J115" s="17" t="str">
        <f aca="false">IF($D115="","",F115-I115)</f>
        <v/>
      </c>
      <c r="K115" s="17" t="str">
        <f aca="false">IF($D115="","",J115*Configuración!$C$4)</f>
        <v/>
      </c>
      <c r="L115" s="17" t="str">
        <f aca="false">IF($D115="","",J115*Configuración!$C$5)</f>
        <v/>
      </c>
    </row>
    <row r="116" customFormat="false" ht="15" hidden="false" customHeight="false" outlineLevel="0" collapsed="false">
      <c r="A116" s="15"/>
      <c r="B116" s="14"/>
      <c r="C116" s="14"/>
      <c r="D116" s="16"/>
      <c r="E116" s="14"/>
      <c r="F116" s="17" t="str">
        <f aca="false">IF($D116="","",IF(Configuración!$B$10="Sí",$D116/(1+Configuración!$B$8),$D116))</f>
        <v/>
      </c>
      <c r="G116" s="17" t="str">
        <f aca="false">IF($D116="","",F116*Configuración!$B$8)</f>
        <v/>
      </c>
      <c r="H116" s="17" t="str">
        <f aca="false">IF($D116="","",F116+G116)</f>
        <v/>
      </c>
      <c r="I116" s="17" t="str">
        <f aca="false">IF($D116="","",F116*Configuración!$B$9)</f>
        <v/>
      </c>
      <c r="J116" s="17" t="str">
        <f aca="false">IF($D116="","",F116-I116)</f>
        <v/>
      </c>
      <c r="K116" s="17" t="str">
        <f aca="false">IF($D116="","",J116*Configuración!$C$4)</f>
        <v/>
      </c>
      <c r="L116" s="17" t="str">
        <f aca="false">IF($D116="","",J116*Configuración!$C$5)</f>
        <v/>
      </c>
    </row>
    <row r="117" customFormat="false" ht="15" hidden="false" customHeight="false" outlineLevel="0" collapsed="false">
      <c r="A117" s="15"/>
      <c r="B117" s="14"/>
      <c r="C117" s="14"/>
      <c r="D117" s="16"/>
      <c r="E117" s="14"/>
      <c r="F117" s="17" t="str">
        <f aca="false">IF($D117="","",IF(Configuración!$B$10="Sí",$D117/(1+Configuración!$B$8),$D117))</f>
        <v/>
      </c>
      <c r="G117" s="17" t="str">
        <f aca="false">IF($D117="","",F117*Configuración!$B$8)</f>
        <v/>
      </c>
      <c r="H117" s="17" t="str">
        <f aca="false">IF($D117="","",F117+G117)</f>
        <v/>
      </c>
      <c r="I117" s="17" t="str">
        <f aca="false">IF($D117="","",F117*Configuración!$B$9)</f>
        <v/>
      </c>
      <c r="J117" s="17" t="str">
        <f aca="false">IF($D117="","",F117-I117)</f>
        <v/>
      </c>
      <c r="K117" s="17" t="str">
        <f aca="false">IF($D117="","",J117*Configuración!$C$4)</f>
        <v/>
      </c>
      <c r="L117" s="17" t="str">
        <f aca="false">IF($D117="","",J117*Configuración!$C$5)</f>
        <v/>
      </c>
    </row>
    <row r="118" customFormat="false" ht="15" hidden="false" customHeight="false" outlineLevel="0" collapsed="false">
      <c r="A118" s="15"/>
      <c r="B118" s="14"/>
      <c r="C118" s="14"/>
      <c r="D118" s="16"/>
      <c r="E118" s="14"/>
      <c r="F118" s="17" t="str">
        <f aca="false">IF($D118="","",IF(Configuración!$B$10="Sí",$D118/(1+Configuración!$B$8),$D118))</f>
        <v/>
      </c>
      <c r="G118" s="17" t="str">
        <f aca="false">IF($D118="","",F118*Configuración!$B$8)</f>
        <v/>
      </c>
      <c r="H118" s="17" t="str">
        <f aca="false">IF($D118="","",F118+G118)</f>
        <v/>
      </c>
      <c r="I118" s="17" t="str">
        <f aca="false">IF($D118="","",F118*Configuración!$B$9)</f>
        <v/>
      </c>
      <c r="J118" s="17" t="str">
        <f aca="false">IF($D118="","",F118-I118)</f>
        <v/>
      </c>
      <c r="K118" s="17" t="str">
        <f aca="false">IF($D118="","",J118*Configuración!$C$4)</f>
        <v/>
      </c>
      <c r="L118" s="17" t="str">
        <f aca="false">IF($D118="","",J118*Configuración!$C$5)</f>
        <v/>
      </c>
    </row>
    <row r="119" customFormat="false" ht="15" hidden="false" customHeight="false" outlineLevel="0" collapsed="false">
      <c r="A119" s="15"/>
      <c r="B119" s="14"/>
      <c r="C119" s="14"/>
      <c r="D119" s="16"/>
      <c r="E119" s="14"/>
      <c r="F119" s="17" t="str">
        <f aca="false">IF($D119="","",IF(Configuración!$B$10="Sí",$D119/(1+Configuración!$B$8),$D119))</f>
        <v/>
      </c>
      <c r="G119" s="17" t="str">
        <f aca="false">IF($D119="","",F119*Configuración!$B$8)</f>
        <v/>
      </c>
      <c r="H119" s="17" t="str">
        <f aca="false">IF($D119="","",F119+G119)</f>
        <v/>
      </c>
      <c r="I119" s="17" t="str">
        <f aca="false">IF($D119="","",F119*Configuración!$B$9)</f>
        <v/>
      </c>
      <c r="J119" s="17" t="str">
        <f aca="false">IF($D119="","",F119-I119)</f>
        <v/>
      </c>
      <c r="K119" s="17" t="str">
        <f aca="false">IF($D119="","",J119*Configuración!$C$4)</f>
        <v/>
      </c>
      <c r="L119" s="17" t="str">
        <f aca="false">IF($D119="","",J119*Configuración!$C$5)</f>
        <v/>
      </c>
    </row>
    <row r="120" customFormat="false" ht="15" hidden="false" customHeight="false" outlineLevel="0" collapsed="false">
      <c r="A120" s="15"/>
      <c r="B120" s="14"/>
      <c r="C120" s="14"/>
      <c r="D120" s="16"/>
      <c r="E120" s="14"/>
      <c r="F120" s="17" t="str">
        <f aca="false">IF($D120="","",IF(Configuración!$B$10="Sí",$D120/(1+Configuración!$B$8),$D120))</f>
        <v/>
      </c>
      <c r="G120" s="17" t="str">
        <f aca="false">IF($D120="","",F120*Configuración!$B$8)</f>
        <v/>
      </c>
      <c r="H120" s="17" t="str">
        <f aca="false">IF($D120="","",F120+G120)</f>
        <v/>
      </c>
      <c r="I120" s="17" t="str">
        <f aca="false">IF($D120="","",F120*Configuración!$B$9)</f>
        <v/>
      </c>
      <c r="J120" s="17" t="str">
        <f aca="false">IF($D120="","",F120-I120)</f>
        <v/>
      </c>
      <c r="K120" s="17" t="str">
        <f aca="false">IF($D120="","",J120*Configuración!$C$4)</f>
        <v/>
      </c>
      <c r="L120" s="17" t="str">
        <f aca="false">IF($D120="","",J120*Configuración!$C$5)</f>
        <v/>
      </c>
    </row>
    <row r="121" customFormat="false" ht="15" hidden="false" customHeight="false" outlineLevel="0" collapsed="false">
      <c r="A121" s="15"/>
      <c r="B121" s="14"/>
      <c r="C121" s="14"/>
      <c r="D121" s="16"/>
      <c r="E121" s="14"/>
      <c r="F121" s="17" t="str">
        <f aca="false">IF($D121="","",IF(Configuración!$B$10="Sí",$D121/(1+Configuración!$B$8),$D121))</f>
        <v/>
      </c>
      <c r="G121" s="17" t="str">
        <f aca="false">IF($D121="","",F121*Configuración!$B$8)</f>
        <v/>
      </c>
      <c r="H121" s="17" t="str">
        <f aca="false">IF($D121="","",F121+G121)</f>
        <v/>
      </c>
      <c r="I121" s="17" t="str">
        <f aca="false">IF($D121="","",F121*Configuración!$B$9)</f>
        <v/>
      </c>
      <c r="J121" s="17" t="str">
        <f aca="false">IF($D121="","",F121-I121)</f>
        <v/>
      </c>
      <c r="K121" s="17" t="str">
        <f aca="false">IF($D121="","",J121*Configuración!$C$4)</f>
        <v/>
      </c>
      <c r="L121" s="17" t="str">
        <f aca="false">IF($D121="","",J121*Configuración!$C$5)</f>
        <v/>
      </c>
    </row>
    <row r="122" customFormat="false" ht="15" hidden="false" customHeight="false" outlineLevel="0" collapsed="false">
      <c r="A122" s="15"/>
      <c r="B122" s="14"/>
      <c r="C122" s="14"/>
      <c r="D122" s="16"/>
      <c r="E122" s="14"/>
      <c r="F122" s="17" t="str">
        <f aca="false">IF($D122="","",IF(Configuración!$B$10="Sí",$D122/(1+Configuración!$B$8),$D122))</f>
        <v/>
      </c>
      <c r="G122" s="17" t="str">
        <f aca="false">IF($D122="","",F122*Configuración!$B$8)</f>
        <v/>
      </c>
      <c r="H122" s="17" t="str">
        <f aca="false">IF($D122="","",F122+G122)</f>
        <v/>
      </c>
      <c r="I122" s="17" t="str">
        <f aca="false">IF($D122="","",F122*Configuración!$B$9)</f>
        <v/>
      </c>
      <c r="J122" s="17" t="str">
        <f aca="false">IF($D122="","",F122-I122)</f>
        <v/>
      </c>
      <c r="K122" s="17" t="str">
        <f aca="false">IF($D122="","",J122*Configuración!$C$4)</f>
        <v/>
      </c>
      <c r="L122" s="17" t="str">
        <f aca="false">IF($D122="","",J122*Configuración!$C$5)</f>
        <v/>
      </c>
    </row>
    <row r="123" customFormat="false" ht="15" hidden="false" customHeight="false" outlineLevel="0" collapsed="false">
      <c r="A123" s="15"/>
      <c r="B123" s="14"/>
      <c r="C123" s="14"/>
      <c r="D123" s="16"/>
      <c r="E123" s="14"/>
      <c r="F123" s="17" t="str">
        <f aca="false">IF($D123="","",IF(Configuración!$B$10="Sí",$D123/(1+Configuración!$B$8),$D123))</f>
        <v/>
      </c>
      <c r="G123" s="17" t="str">
        <f aca="false">IF($D123="","",F123*Configuración!$B$8)</f>
        <v/>
      </c>
      <c r="H123" s="17" t="str">
        <f aca="false">IF($D123="","",F123+G123)</f>
        <v/>
      </c>
      <c r="I123" s="17" t="str">
        <f aca="false">IF($D123="","",F123*Configuración!$B$9)</f>
        <v/>
      </c>
      <c r="J123" s="17" t="str">
        <f aca="false">IF($D123="","",F123-I123)</f>
        <v/>
      </c>
      <c r="K123" s="17" t="str">
        <f aca="false">IF($D123="","",J123*Configuración!$C$4)</f>
        <v/>
      </c>
      <c r="L123" s="17" t="str">
        <f aca="false">IF($D123="","",J123*Configuración!$C$5)</f>
        <v/>
      </c>
    </row>
    <row r="124" customFormat="false" ht="15" hidden="false" customHeight="false" outlineLevel="0" collapsed="false">
      <c r="A124" s="15"/>
      <c r="B124" s="14"/>
      <c r="C124" s="14"/>
      <c r="D124" s="16"/>
      <c r="E124" s="14"/>
      <c r="F124" s="17" t="str">
        <f aca="false">IF($D124="","",IF(Configuración!$B$10="Sí",$D124/(1+Configuración!$B$8),$D124))</f>
        <v/>
      </c>
      <c r="G124" s="17" t="str">
        <f aca="false">IF($D124="","",F124*Configuración!$B$8)</f>
        <v/>
      </c>
      <c r="H124" s="17" t="str">
        <f aca="false">IF($D124="","",F124+G124)</f>
        <v/>
      </c>
      <c r="I124" s="17" t="str">
        <f aca="false">IF($D124="","",F124*Configuración!$B$9)</f>
        <v/>
      </c>
      <c r="J124" s="17" t="str">
        <f aca="false">IF($D124="","",F124-I124)</f>
        <v/>
      </c>
      <c r="K124" s="17" t="str">
        <f aca="false">IF($D124="","",J124*Configuración!$C$4)</f>
        <v/>
      </c>
      <c r="L124" s="17" t="str">
        <f aca="false">IF($D124="","",J124*Configuración!$C$5)</f>
        <v/>
      </c>
    </row>
    <row r="125" customFormat="false" ht="15" hidden="false" customHeight="false" outlineLevel="0" collapsed="false">
      <c r="A125" s="15"/>
      <c r="B125" s="14"/>
      <c r="C125" s="14"/>
      <c r="D125" s="16"/>
      <c r="E125" s="14"/>
      <c r="F125" s="17" t="str">
        <f aca="false">IF($D125="","",IF(Configuración!$B$10="Sí",$D125/(1+Configuración!$B$8),$D125))</f>
        <v/>
      </c>
      <c r="G125" s="17" t="str">
        <f aca="false">IF($D125="","",F125*Configuración!$B$8)</f>
        <v/>
      </c>
      <c r="H125" s="17" t="str">
        <f aca="false">IF($D125="","",F125+G125)</f>
        <v/>
      </c>
      <c r="I125" s="17" t="str">
        <f aca="false">IF($D125="","",F125*Configuración!$B$9)</f>
        <v/>
      </c>
      <c r="J125" s="17" t="str">
        <f aca="false">IF($D125="","",F125-I125)</f>
        <v/>
      </c>
      <c r="K125" s="17" t="str">
        <f aca="false">IF($D125="","",J125*Configuración!$C$4)</f>
        <v/>
      </c>
      <c r="L125" s="17" t="str">
        <f aca="false">IF($D125="","",J125*Configuración!$C$5)</f>
        <v/>
      </c>
    </row>
    <row r="126" customFormat="false" ht="15" hidden="false" customHeight="false" outlineLevel="0" collapsed="false">
      <c r="A126" s="15"/>
      <c r="B126" s="14"/>
      <c r="C126" s="14"/>
      <c r="D126" s="16"/>
      <c r="E126" s="14"/>
      <c r="F126" s="17" t="str">
        <f aca="false">IF($D126="","",IF(Configuración!$B$10="Sí",$D126/(1+Configuración!$B$8),$D126))</f>
        <v/>
      </c>
      <c r="G126" s="17" t="str">
        <f aca="false">IF($D126="","",F126*Configuración!$B$8)</f>
        <v/>
      </c>
      <c r="H126" s="17" t="str">
        <f aca="false">IF($D126="","",F126+G126)</f>
        <v/>
      </c>
      <c r="I126" s="17" t="str">
        <f aca="false">IF($D126="","",F126*Configuración!$B$9)</f>
        <v/>
      </c>
      <c r="J126" s="17" t="str">
        <f aca="false">IF($D126="","",F126-I126)</f>
        <v/>
      </c>
      <c r="K126" s="17" t="str">
        <f aca="false">IF($D126="","",J126*Configuración!$C$4)</f>
        <v/>
      </c>
      <c r="L126" s="17" t="str">
        <f aca="false">IF($D126="","",J126*Configuración!$C$5)</f>
        <v/>
      </c>
    </row>
    <row r="127" customFormat="false" ht="15" hidden="false" customHeight="false" outlineLevel="0" collapsed="false">
      <c r="A127" s="15"/>
      <c r="B127" s="14"/>
      <c r="C127" s="14"/>
      <c r="D127" s="16"/>
      <c r="E127" s="14"/>
      <c r="F127" s="17" t="str">
        <f aca="false">IF($D127="","",IF(Configuración!$B$10="Sí",$D127/(1+Configuración!$B$8),$D127))</f>
        <v/>
      </c>
      <c r="G127" s="17" t="str">
        <f aca="false">IF($D127="","",F127*Configuración!$B$8)</f>
        <v/>
      </c>
      <c r="H127" s="17" t="str">
        <f aca="false">IF($D127="","",F127+G127)</f>
        <v/>
      </c>
      <c r="I127" s="17" t="str">
        <f aca="false">IF($D127="","",F127*Configuración!$B$9)</f>
        <v/>
      </c>
      <c r="J127" s="17" t="str">
        <f aca="false">IF($D127="","",F127-I127)</f>
        <v/>
      </c>
      <c r="K127" s="17" t="str">
        <f aca="false">IF($D127="","",J127*Configuración!$C$4)</f>
        <v/>
      </c>
      <c r="L127" s="17" t="str">
        <f aca="false">IF($D127="","",J127*Configuración!$C$5)</f>
        <v/>
      </c>
    </row>
    <row r="128" customFormat="false" ht="15" hidden="false" customHeight="false" outlineLevel="0" collapsed="false">
      <c r="A128" s="15"/>
      <c r="B128" s="14"/>
      <c r="C128" s="14"/>
      <c r="D128" s="16"/>
      <c r="E128" s="14"/>
      <c r="F128" s="17" t="str">
        <f aca="false">IF($D128="","",IF(Configuración!$B$10="Sí",$D128/(1+Configuración!$B$8),$D128))</f>
        <v/>
      </c>
      <c r="G128" s="17" t="str">
        <f aca="false">IF($D128="","",F128*Configuración!$B$8)</f>
        <v/>
      </c>
      <c r="H128" s="17" t="str">
        <f aca="false">IF($D128="","",F128+G128)</f>
        <v/>
      </c>
      <c r="I128" s="17" t="str">
        <f aca="false">IF($D128="","",F128*Configuración!$B$9)</f>
        <v/>
      </c>
      <c r="J128" s="17" t="str">
        <f aca="false">IF($D128="","",F128-I128)</f>
        <v/>
      </c>
      <c r="K128" s="17" t="str">
        <f aca="false">IF($D128="","",J128*Configuración!$C$4)</f>
        <v/>
      </c>
      <c r="L128" s="17" t="str">
        <f aca="false">IF($D128="","",J128*Configuración!$C$5)</f>
        <v/>
      </c>
    </row>
    <row r="129" customFormat="false" ht="15" hidden="false" customHeight="false" outlineLevel="0" collapsed="false">
      <c r="A129" s="15"/>
      <c r="B129" s="14"/>
      <c r="C129" s="14"/>
      <c r="D129" s="16"/>
      <c r="E129" s="14"/>
      <c r="F129" s="17" t="str">
        <f aca="false">IF($D129="","",IF(Configuración!$B$10="Sí",$D129/(1+Configuración!$B$8),$D129))</f>
        <v/>
      </c>
      <c r="G129" s="17" t="str">
        <f aca="false">IF($D129="","",F129*Configuración!$B$8)</f>
        <v/>
      </c>
      <c r="H129" s="17" t="str">
        <f aca="false">IF($D129="","",F129+G129)</f>
        <v/>
      </c>
      <c r="I129" s="17" t="str">
        <f aca="false">IF($D129="","",F129*Configuración!$B$9)</f>
        <v/>
      </c>
      <c r="J129" s="17" t="str">
        <f aca="false">IF($D129="","",F129-I129)</f>
        <v/>
      </c>
      <c r="K129" s="17" t="str">
        <f aca="false">IF($D129="","",J129*Configuración!$C$4)</f>
        <v/>
      </c>
      <c r="L129" s="17" t="str">
        <f aca="false">IF($D129="","",J129*Configuración!$C$5)</f>
        <v/>
      </c>
    </row>
    <row r="130" customFormat="false" ht="15" hidden="false" customHeight="false" outlineLevel="0" collapsed="false">
      <c r="A130" s="15"/>
      <c r="B130" s="14"/>
      <c r="C130" s="14"/>
      <c r="D130" s="16"/>
      <c r="E130" s="14"/>
      <c r="F130" s="17" t="str">
        <f aca="false">IF($D130="","",IF(Configuración!$B$10="Sí",$D130/(1+Configuración!$B$8),$D130))</f>
        <v/>
      </c>
      <c r="G130" s="17" t="str">
        <f aca="false">IF($D130="","",F130*Configuración!$B$8)</f>
        <v/>
      </c>
      <c r="H130" s="17" t="str">
        <f aca="false">IF($D130="","",F130+G130)</f>
        <v/>
      </c>
      <c r="I130" s="17" t="str">
        <f aca="false">IF($D130="","",F130*Configuración!$B$9)</f>
        <v/>
      </c>
      <c r="J130" s="17" t="str">
        <f aca="false">IF($D130="","",F130-I130)</f>
        <v/>
      </c>
      <c r="K130" s="17" t="str">
        <f aca="false">IF($D130="","",J130*Configuración!$C$4)</f>
        <v/>
      </c>
      <c r="L130" s="17" t="str">
        <f aca="false">IF($D130="","",J130*Configuración!$C$5)</f>
        <v/>
      </c>
    </row>
    <row r="131" customFormat="false" ht="15" hidden="false" customHeight="false" outlineLevel="0" collapsed="false">
      <c r="A131" s="15"/>
      <c r="B131" s="14"/>
      <c r="C131" s="14"/>
      <c r="D131" s="16"/>
      <c r="E131" s="14"/>
      <c r="F131" s="17" t="str">
        <f aca="false">IF($D131="","",IF(Configuración!$B$10="Sí",$D131/(1+Configuración!$B$8),$D131))</f>
        <v/>
      </c>
      <c r="G131" s="17" t="str">
        <f aca="false">IF($D131="","",F131*Configuración!$B$8)</f>
        <v/>
      </c>
      <c r="H131" s="17" t="str">
        <f aca="false">IF($D131="","",F131+G131)</f>
        <v/>
      </c>
      <c r="I131" s="17" t="str">
        <f aca="false">IF($D131="","",F131*Configuración!$B$9)</f>
        <v/>
      </c>
      <c r="J131" s="17" t="str">
        <f aca="false">IF($D131="","",F131-I131)</f>
        <v/>
      </c>
      <c r="K131" s="17" t="str">
        <f aca="false">IF($D131="","",J131*Configuración!$C$4)</f>
        <v/>
      </c>
      <c r="L131" s="17" t="str">
        <f aca="false">IF($D131="","",J131*Configuración!$C$5)</f>
        <v/>
      </c>
    </row>
    <row r="132" customFormat="false" ht="15" hidden="false" customHeight="false" outlineLevel="0" collapsed="false">
      <c r="A132" s="15"/>
      <c r="B132" s="14"/>
      <c r="C132" s="14"/>
      <c r="D132" s="16"/>
      <c r="E132" s="14"/>
      <c r="F132" s="17" t="str">
        <f aca="false">IF($D132="","",IF(Configuración!$B$10="Sí",$D132/(1+Configuración!$B$8),$D132))</f>
        <v/>
      </c>
      <c r="G132" s="17" t="str">
        <f aca="false">IF($D132="","",F132*Configuración!$B$8)</f>
        <v/>
      </c>
      <c r="H132" s="17" t="str">
        <f aca="false">IF($D132="","",F132+G132)</f>
        <v/>
      </c>
      <c r="I132" s="17" t="str">
        <f aca="false">IF($D132="","",F132*Configuración!$B$9)</f>
        <v/>
      </c>
      <c r="J132" s="17" t="str">
        <f aca="false">IF($D132="","",F132-I132)</f>
        <v/>
      </c>
      <c r="K132" s="17" t="str">
        <f aca="false">IF($D132="","",J132*Configuración!$C$4)</f>
        <v/>
      </c>
      <c r="L132" s="17" t="str">
        <f aca="false">IF($D132="","",J132*Configuración!$C$5)</f>
        <v/>
      </c>
    </row>
    <row r="133" customFormat="false" ht="15" hidden="false" customHeight="false" outlineLevel="0" collapsed="false">
      <c r="A133" s="15"/>
      <c r="B133" s="14"/>
      <c r="C133" s="14"/>
      <c r="D133" s="16"/>
      <c r="E133" s="14"/>
      <c r="F133" s="17" t="str">
        <f aca="false">IF($D133="","",IF(Configuración!$B$10="Sí",$D133/(1+Configuración!$B$8),$D133))</f>
        <v/>
      </c>
      <c r="G133" s="17" t="str">
        <f aca="false">IF($D133="","",F133*Configuración!$B$8)</f>
        <v/>
      </c>
      <c r="H133" s="17" t="str">
        <f aca="false">IF($D133="","",F133+G133)</f>
        <v/>
      </c>
      <c r="I133" s="17" t="str">
        <f aca="false">IF($D133="","",F133*Configuración!$B$9)</f>
        <v/>
      </c>
      <c r="J133" s="17" t="str">
        <f aca="false">IF($D133="","",F133-I133)</f>
        <v/>
      </c>
      <c r="K133" s="17" t="str">
        <f aca="false">IF($D133="","",J133*Configuración!$C$4)</f>
        <v/>
      </c>
      <c r="L133" s="17" t="str">
        <f aca="false">IF($D133="","",J133*Configuración!$C$5)</f>
        <v/>
      </c>
    </row>
    <row r="134" customFormat="false" ht="15" hidden="false" customHeight="false" outlineLevel="0" collapsed="false">
      <c r="A134" s="15"/>
      <c r="B134" s="14"/>
      <c r="C134" s="14"/>
      <c r="D134" s="16"/>
      <c r="E134" s="14"/>
      <c r="F134" s="17" t="str">
        <f aca="false">IF($D134="","",IF(Configuración!$B$10="Sí",$D134/(1+Configuración!$B$8),$D134))</f>
        <v/>
      </c>
      <c r="G134" s="17" t="str">
        <f aca="false">IF($D134="","",F134*Configuración!$B$8)</f>
        <v/>
      </c>
      <c r="H134" s="17" t="str">
        <f aca="false">IF($D134="","",F134+G134)</f>
        <v/>
      </c>
      <c r="I134" s="17" t="str">
        <f aca="false">IF($D134="","",F134*Configuración!$B$9)</f>
        <v/>
      </c>
      <c r="J134" s="17" t="str">
        <f aca="false">IF($D134="","",F134-I134)</f>
        <v/>
      </c>
      <c r="K134" s="17" t="str">
        <f aca="false">IF($D134="","",J134*Configuración!$C$4)</f>
        <v/>
      </c>
      <c r="L134" s="17" t="str">
        <f aca="false">IF($D134="","",J134*Configuración!$C$5)</f>
        <v/>
      </c>
    </row>
    <row r="135" customFormat="false" ht="15" hidden="false" customHeight="false" outlineLevel="0" collapsed="false">
      <c r="A135" s="15"/>
      <c r="B135" s="14"/>
      <c r="C135" s="14"/>
      <c r="D135" s="16"/>
      <c r="E135" s="14"/>
      <c r="F135" s="17" t="str">
        <f aca="false">IF($D135="","",IF(Configuración!$B$10="Sí",$D135/(1+Configuración!$B$8),$D135))</f>
        <v/>
      </c>
      <c r="G135" s="17" t="str">
        <f aca="false">IF($D135="","",F135*Configuración!$B$8)</f>
        <v/>
      </c>
      <c r="H135" s="17" t="str">
        <f aca="false">IF($D135="","",F135+G135)</f>
        <v/>
      </c>
      <c r="I135" s="17" t="str">
        <f aca="false">IF($D135="","",F135*Configuración!$B$9)</f>
        <v/>
      </c>
      <c r="J135" s="17" t="str">
        <f aca="false">IF($D135="","",F135-I135)</f>
        <v/>
      </c>
      <c r="K135" s="17" t="str">
        <f aca="false">IF($D135="","",J135*Configuración!$C$4)</f>
        <v/>
      </c>
      <c r="L135" s="17" t="str">
        <f aca="false">IF($D135="","",J135*Configuración!$C$5)</f>
        <v/>
      </c>
    </row>
    <row r="136" customFormat="false" ht="15" hidden="false" customHeight="false" outlineLevel="0" collapsed="false">
      <c r="A136" s="15"/>
      <c r="B136" s="14"/>
      <c r="C136" s="14"/>
      <c r="D136" s="16"/>
      <c r="E136" s="14"/>
      <c r="F136" s="17" t="str">
        <f aca="false">IF($D136="","",IF(Configuración!$B$10="Sí",$D136/(1+Configuración!$B$8),$D136))</f>
        <v/>
      </c>
      <c r="G136" s="17" t="str">
        <f aca="false">IF($D136="","",F136*Configuración!$B$8)</f>
        <v/>
      </c>
      <c r="H136" s="17" t="str">
        <f aca="false">IF($D136="","",F136+G136)</f>
        <v/>
      </c>
      <c r="I136" s="17" t="str">
        <f aca="false">IF($D136="","",F136*Configuración!$B$9)</f>
        <v/>
      </c>
      <c r="J136" s="17" t="str">
        <f aca="false">IF($D136="","",F136-I136)</f>
        <v/>
      </c>
      <c r="K136" s="17" t="str">
        <f aca="false">IF($D136="","",J136*Configuración!$C$4)</f>
        <v/>
      </c>
      <c r="L136" s="17" t="str">
        <f aca="false">IF($D136="","",J136*Configuración!$C$5)</f>
        <v/>
      </c>
    </row>
    <row r="137" customFormat="false" ht="15" hidden="false" customHeight="false" outlineLevel="0" collapsed="false">
      <c r="A137" s="15"/>
      <c r="B137" s="14"/>
      <c r="C137" s="14"/>
      <c r="D137" s="16"/>
      <c r="E137" s="14"/>
      <c r="F137" s="17" t="str">
        <f aca="false">IF($D137="","",IF(Configuración!$B$10="Sí",$D137/(1+Configuración!$B$8),$D137))</f>
        <v/>
      </c>
      <c r="G137" s="17" t="str">
        <f aca="false">IF($D137="","",F137*Configuración!$B$8)</f>
        <v/>
      </c>
      <c r="H137" s="17" t="str">
        <f aca="false">IF($D137="","",F137+G137)</f>
        <v/>
      </c>
      <c r="I137" s="17" t="str">
        <f aca="false">IF($D137="","",F137*Configuración!$B$9)</f>
        <v/>
      </c>
      <c r="J137" s="17" t="str">
        <f aca="false">IF($D137="","",F137-I137)</f>
        <v/>
      </c>
      <c r="K137" s="17" t="str">
        <f aca="false">IF($D137="","",J137*Configuración!$C$4)</f>
        <v/>
      </c>
      <c r="L137" s="17" t="str">
        <f aca="false">IF($D137="","",J137*Configuración!$C$5)</f>
        <v/>
      </c>
    </row>
    <row r="138" customFormat="false" ht="15" hidden="false" customHeight="false" outlineLevel="0" collapsed="false">
      <c r="A138" s="15"/>
      <c r="B138" s="14"/>
      <c r="C138" s="14"/>
      <c r="D138" s="16"/>
      <c r="E138" s="14"/>
      <c r="F138" s="17" t="str">
        <f aca="false">IF($D138="","",IF(Configuración!$B$10="Sí",$D138/(1+Configuración!$B$8),$D138))</f>
        <v/>
      </c>
      <c r="G138" s="17" t="str">
        <f aca="false">IF($D138="","",F138*Configuración!$B$8)</f>
        <v/>
      </c>
      <c r="H138" s="17" t="str">
        <f aca="false">IF($D138="","",F138+G138)</f>
        <v/>
      </c>
      <c r="I138" s="17" t="str">
        <f aca="false">IF($D138="","",F138*Configuración!$B$9)</f>
        <v/>
      </c>
      <c r="J138" s="17" t="str">
        <f aca="false">IF($D138="","",F138-I138)</f>
        <v/>
      </c>
      <c r="K138" s="17" t="str">
        <f aca="false">IF($D138="","",J138*Configuración!$C$4)</f>
        <v/>
      </c>
      <c r="L138" s="17" t="str">
        <f aca="false">IF($D138="","",J138*Configuración!$C$5)</f>
        <v/>
      </c>
    </row>
    <row r="139" customFormat="false" ht="15" hidden="false" customHeight="false" outlineLevel="0" collapsed="false">
      <c r="A139" s="15"/>
      <c r="B139" s="14"/>
      <c r="C139" s="14"/>
      <c r="D139" s="16"/>
      <c r="E139" s="14"/>
      <c r="F139" s="17" t="str">
        <f aca="false">IF($D139="","",IF(Configuración!$B$10="Sí",$D139/(1+Configuración!$B$8),$D139))</f>
        <v/>
      </c>
      <c r="G139" s="17" t="str">
        <f aca="false">IF($D139="","",F139*Configuración!$B$8)</f>
        <v/>
      </c>
      <c r="H139" s="17" t="str">
        <f aca="false">IF($D139="","",F139+G139)</f>
        <v/>
      </c>
      <c r="I139" s="17" t="str">
        <f aca="false">IF($D139="","",F139*Configuración!$B$9)</f>
        <v/>
      </c>
      <c r="J139" s="17" t="str">
        <f aca="false">IF($D139="","",F139-I139)</f>
        <v/>
      </c>
      <c r="K139" s="17" t="str">
        <f aca="false">IF($D139="","",J139*Configuración!$C$4)</f>
        <v/>
      </c>
      <c r="L139" s="17" t="str">
        <f aca="false">IF($D139="","",J139*Configuración!$C$5)</f>
        <v/>
      </c>
    </row>
    <row r="140" customFormat="false" ht="15" hidden="false" customHeight="false" outlineLevel="0" collapsed="false">
      <c r="A140" s="15"/>
      <c r="B140" s="14"/>
      <c r="C140" s="14"/>
      <c r="D140" s="16"/>
      <c r="E140" s="14"/>
      <c r="F140" s="17" t="str">
        <f aca="false">IF($D140="","",IF(Configuración!$B$10="Sí",$D140/(1+Configuración!$B$8),$D140))</f>
        <v/>
      </c>
      <c r="G140" s="17" t="str">
        <f aca="false">IF($D140="","",F140*Configuración!$B$8)</f>
        <v/>
      </c>
      <c r="H140" s="17" t="str">
        <f aca="false">IF($D140="","",F140+G140)</f>
        <v/>
      </c>
      <c r="I140" s="17" t="str">
        <f aca="false">IF($D140="","",F140*Configuración!$B$9)</f>
        <v/>
      </c>
      <c r="J140" s="17" t="str">
        <f aca="false">IF($D140="","",F140-I140)</f>
        <v/>
      </c>
      <c r="K140" s="17" t="str">
        <f aca="false">IF($D140="","",J140*Configuración!$C$4)</f>
        <v/>
      </c>
      <c r="L140" s="17" t="str">
        <f aca="false">IF($D140="","",J140*Configuración!$C$5)</f>
        <v/>
      </c>
    </row>
    <row r="141" customFormat="false" ht="15" hidden="false" customHeight="false" outlineLevel="0" collapsed="false">
      <c r="A141" s="15"/>
      <c r="B141" s="14"/>
      <c r="C141" s="14"/>
      <c r="D141" s="16"/>
      <c r="E141" s="14"/>
      <c r="F141" s="17" t="str">
        <f aca="false">IF($D141="","",IF(Configuración!$B$10="Sí",$D141/(1+Configuración!$B$8),$D141))</f>
        <v/>
      </c>
      <c r="G141" s="17" t="str">
        <f aca="false">IF($D141="","",F141*Configuración!$B$8)</f>
        <v/>
      </c>
      <c r="H141" s="17" t="str">
        <f aca="false">IF($D141="","",F141+G141)</f>
        <v/>
      </c>
      <c r="I141" s="17" t="str">
        <f aca="false">IF($D141="","",F141*Configuración!$B$9)</f>
        <v/>
      </c>
      <c r="J141" s="17" t="str">
        <f aca="false">IF($D141="","",F141-I141)</f>
        <v/>
      </c>
      <c r="K141" s="17" t="str">
        <f aca="false">IF($D141="","",J141*Configuración!$C$4)</f>
        <v/>
      </c>
      <c r="L141" s="17" t="str">
        <f aca="false">IF($D141="","",J141*Configuración!$C$5)</f>
        <v/>
      </c>
    </row>
    <row r="142" customFormat="false" ht="15" hidden="false" customHeight="false" outlineLevel="0" collapsed="false">
      <c r="A142" s="15"/>
      <c r="B142" s="14"/>
      <c r="C142" s="14"/>
      <c r="D142" s="16"/>
      <c r="E142" s="14"/>
      <c r="F142" s="17" t="str">
        <f aca="false">IF($D142="","",IF(Configuración!$B$10="Sí",$D142/(1+Configuración!$B$8),$D142))</f>
        <v/>
      </c>
      <c r="G142" s="17" t="str">
        <f aca="false">IF($D142="","",F142*Configuración!$B$8)</f>
        <v/>
      </c>
      <c r="H142" s="17" t="str">
        <f aca="false">IF($D142="","",F142+G142)</f>
        <v/>
      </c>
      <c r="I142" s="17" t="str">
        <f aca="false">IF($D142="","",F142*Configuración!$B$9)</f>
        <v/>
      </c>
      <c r="J142" s="17" t="str">
        <f aca="false">IF($D142="","",F142-I142)</f>
        <v/>
      </c>
      <c r="K142" s="17" t="str">
        <f aca="false">IF($D142="","",J142*Configuración!$C$4)</f>
        <v/>
      </c>
      <c r="L142" s="17" t="str">
        <f aca="false">IF($D142="","",J142*Configuración!$C$5)</f>
        <v/>
      </c>
    </row>
    <row r="143" customFormat="false" ht="15" hidden="false" customHeight="false" outlineLevel="0" collapsed="false">
      <c r="A143" s="15"/>
      <c r="B143" s="14"/>
      <c r="C143" s="14"/>
      <c r="D143" s="16"/>
      <c r="E143" s="14"/>
      <c r="F143" s="17" t="str">
        <f aca="false">IF($D143="","",IF(Configuración!$B$10="Sí",$D143/(1+Configuración!$B$8),$D143))</f>
        <v/>
      </c>
      <c r="G143" s="17" t="str">
        <f aca="false">IF($D143="","",F143*Configuración!$B$8)</f>
        <v/>
      </c>
      <c r="H143" s="17" t="str">
        <f aca="false">IF($D143="","",F143+G143)</f>
        <v/>
      </c>
      <c r="I143" s="17" t="str">
        <f aca="false">IF($D143="","",F143*Configuración!$B$9)</f>
        <v/>
      </c>
      <c r="J143" s="17" t="str">
        <f aca="false">IF($D143="","",F143-I143)</f>
        <v/>
      </c>
      <c r="K143" s="17" t="str">
        <f aca="false">IF($D143="","",J143*Configuración!$C$4)</f>
        <v/>
      </c>
      <c r="L143" s="17" t="str">
        <f aca="false">IF($D143="","",J143*Configuración!$C$5)</f>
        <v/>
      </c>
    </row>
    <row r="144" customFormat="false" ht="15" hidden="false" customHeight="false" outlineLevel="0" collapsed="false">
      <c r="A144" s="15"/>
      <c r="B144" s="14"/>
      <c r="C144" s="14"/>
      <c r="D144" s="16"/>
      <c r="E144" s="14"/>
      <c r="F144" s="17" t="str">
        <f aca="false">IF($D144="","",IF(Configuración!$B$10="Sí",$D144/(1+Configuración!$B$8),$D144))</f>
        <v/>
      </c>
      <c r="G144" s="17" t="str">
        <f aca="false">IF($D144="","",F144*Configuración!$B$8)</f>
        <v/>
      </c>
      <c r="H144" s="17" t="str">
        <f aca="false">IF($D144="","",F144+G144)</f>
        <v/>
      </c>
      <c r="I144" s="17" t="str">
        <f aca="false">IF($D144="","",F144*Configuración!$B$9)</f>
        <v/>
      </c>
      <c r="J144" s="17" t="str">
        <f aca="false">IF($D144="","",F144-I144)</f>
        <v/>
      </c>
      <c r="K144" s="17" t="str">
        <f aca="false">IF($D144="","",J144*Configuración!$C$4)</f>
        <v/>
      </c>
      <c r="L144" s="17" t="str">
        <f aca="false">IF($D144="","",J144*Configuración!$C$5)</f>
        <v/>
      </c>
    </row>
    <row r="145" customFormat="false" ht="15" hidden="false" customHeight="false" outlineLevel="0" collapsed="false">
      <c r="A145" s="15"/>
      <c r="B145" s="14"/>
      <c r="C145" s="14"/>
      <c r="D145" s="16"/>
      <c r="E145" s="14"/>
      <c r="F145" s="17" t="str">
        <f aca="false">IF($D145="","",IF(Configuración!$B$10="Sí",$D145/(1+Configuración!$B$8),$D145))</f>
        <v/>
      </c>
      <c r="G145" s="17" t="str">
        <f aca="false">IF($D145="","",F145*Configuración!$B$8)</f>
        <v/>
      </c>
      <c r="H145" s="17" t="str">
        <f aca="false">IF($D145="","",F145+G145)</f>
        <v/>
      </c>
      <c r="I145" s="17" t="str">
        <f aca="false">IF($D145="","",F145*Configuración!$B$9)</f>
        <v/>
      </c>
      <c r="J145" s="17" t="str">
        <f aca="false">IF($D145="","",F145-I145)</f>
        <v/>
      </c>
      <c r="K145" s="17" t="str">
        <f aca="false">IF($D145="","",J145*Configuración!$C$4)</f>
        <v/>
      </c>
      <c r="L145" s="17" t="str">
        <f aca="false">IF($D145="","",J145*Configuración!$C$5)</f>
        <v/>
      </c>
    </row>
    <row r="146" customFormat="false" ht="15" hidden="false" customHeight="false" outlineLevel="0" collapsed="false">
      <c r="A146" s="15"/>
      <c r="B146" s="14"/>
      <c r="C146" s="14"/>
      <c r="D146" s="16"/>
      <c r="E146" s="14"/>
      <c r="F146" s="17" t="str">
        <f aca="false">IF($D146="","",IF(Configuración!$B$10="Sí",$D146/(1+Configuración!$B$8),$D146))</f>
        <v/>
      </c>
      <c r="G146" s="17" t="str">
        <f aca="false">IF($D146="","",F146*Configuración!$B$8)</f>
        <v/>
      </c>
      <c r="H146" s="17" t="str">
        <f aca="false">IF($D146="","",F146+G146)</f>
        <v/>
      </c>
      <c r="I146" s="17" t="str">
        <f aca="false">IF($D146="","",F146*Configuración!$B$9)</f>
        <v/>
      </c>
      <c r="J146" s="17" t="str">
        <f aca="false">IF($D146="","",F146-I146)</f>
        <v/>
      </c>
      <c r="K146" s="17" t="str">
        <f aca="false">IF($D146="","",J146*Configuración!$C$4)</f>
        <v/>
      </c>
      <c r="L146" s="17" t="str">
        <f aca="false">IF($D146="","",J146*Configuración!$C$5)</f>
        <v/>
      </c>
    </row>
    <row r="147" customFormat="false" ht="15" hidden="false" customHeight="false" outlineLevel="0" collapsed="false">
      <c r="A147" s="15"/>
      <c r="B147" s="14"/>
      <c r="C147" s="14"/>
      <c r="D147" s="16"/>
      <c r="E147" s="14"/>
      <c r="F147" s="17" t="str">
        <f aca="false">IF($D147="","",IF(Configuración!$B$10="Sí",$D147/(1+Configuración!$B$8),$D147))</f>
        <v/>
      </c>
      <c r="G147" s="17" t="str">
        <f aca="false">IF($D147="","",F147*Configuración!$B$8)</f>
        <v/>
      </c>
      <c r="H147" s="17" t="str">
        <f aca="false">IF($D147="","",F147+G147)</f>
        <v/>
      </c>
      <c r="I147" s="17" t="str">
        <f aca="false">IF($D147="","",F147*Configuración!$B$9)</f>
        <v/>
      </c>
      <c r="J147" s="17" t="str">
        <f aca="false">IF($D147="","",F147-I147)</f>
        <v/>
      </c>
      <c r="K147" s="17" t="str">
        <f aca="false">IF($D147="","",J147*Configuración!$C$4)</f>
        <v/>
      </c>
      <c r="L147" s="17" t="str">
        <f aca="false">IF($D147="","",J147*Configuración!$C$5)</f>
        <v/>
      </c>
    </row>
    <row r="148" customFormat="false" ht="15" hidden="false" customHeight="false" outlineLevel="0" collapsed="false">
      <c r="A148" s="15"/>
      <c r="B148" s="14"/>
      <c r="C148" s="14"/>
      <c r="D148" s="16"/>
      <c r="E148" s="14"/>
      <c r="F148" s="17" t="str">
        <f aca="false">IF($D148="","",IF(Configuración!$B$10="Sí",$D148/(1+Configuración!$B$8),$D148))</f>
        <v/>
      </c>
      <c r="G148" s="17" t="str">
        <f aca="false">IF($D148="","",F148*Configuración!$B$8)</f>
        <v/>
      </c>
      <c r="H148" s="17" t="str">
        <f aca="false">IF($D148="","",F148+G148)</f>
        <v/>
      </c>
      <c r="I148" s="17" t="str">
        <f aca="false">IF($D148="","",F148*Configuración!$B$9)</f>
        <v/>
      </c>
      <c r="J148" s="17" t="str">
        <f aca="false">IF($D148="","",F148-I148)</f>
        <v/>
      </c>
      <c r="K148" s="17" t="str">
        <f aca="false">IF($D148="","",J148*Configuración!$C$4)</f>
        <v/>
      </c>
      <c r="L148" s="17" t="str">
        <f aca="false">IF($D148="","",J148*Configuración!$C$5)</f>
        <v/>
      </c>
    </row>
    <row r="149" customFormat="false" ht="15" hidden="false" customHeight="false" outlineLevel="0" collapsed="false">
      <c r="A149" s="15"/>
      <c r="B149" s="14"/>
      <c r="C149" s="14"/>
      <c r="D149" s="16"/>
      <c r="E149" s="14"/>
      <c r="F149" s="17" t="str">
        <f aca="false">IF($D149="","",IF(Configuración!$B$10="Sí",$D149/(1+Configuración!$B$8),$D149))</f>
        <v/>
      </c>
      <c r="G149" s="17" t="str">
        <f aca="false">IF($D149="","",F149*Configuración!$B$8)</f>
        <v/>
      </c>
      <c r="H149" s="17" t="str">
        <f aca="false">IF($D149="","",F149+G149)</f>
        <v/>
      </c>
      <c r="I149" s="17" t="str">
        <f aca="false">IF($D149="","",F149*Configuración!$B$9)</f>
        <v/>
      </c>
      <c r="J149" s="17" t="str">
        <f aca="false">IF($D149="","",F149-I149)</f>
        <v/>
      </c>
      <c r="K149" s="17" t="str">
        <f aca="false">IF($D149="","",J149*Configuración!$C$4)</f>
        <v/>
      </c>
      <c r="L149" s="17" t="str">
        <f aca="false">IF($D149="","",J149*Configuración!$C$5)</f>
        <v/>
      </c>
    </row>
    <row r="150" customFormat="false" ht="15" hidden="false" customHeight="false" outlineLevel="0" collapsed="false">
      <c r="A150" s="15"/>
      <c r="B150" s="14"/>
      <c r="C150" s="14"/>
      <c r="D150" s="16"/>
      <c r="E150" s="14"/>
      <c r="F150" s="17" t="str">
        <f aca="false">IF($D150="","",IF(Configuración!$B$10="Sí",$D150/(1+Configuración!$B$8),$D150))</f>
        <v/>
      </c>
      <c r="G150" s="17" t="str">
        <f aca="false">IF($D150="","",F150*Configuración!$B$8)</f>
        <v/>
      </c>
      <c r="H150" s="17" t="str">
        <f aca="false">IF($D150="","",F150+G150)</f>
        <v/>
      </c>
      <c r="I150" s="17" t="str">
        <f aca="false">IF($D150="","",F150*Configuración!$B$9)</f>
        <v/>
      </c>
      <c r="J150" s="17" t="str">
        <f aca="false">IF($D150="","",F150-I150)</f>
        <v/>
      </c>
      <c r="K150" s="17" t="str">
        <f aca="false">IF($D150="","",J150*Configuración!$C$4)</f>
        <v/>
      </c>
      <c r="L150" s="17" t="str">
        <f aca="false">IF($D150="","",J150*Configuración!$C$5)</f>
        <v/>
      </c>
    </row>
    <row r="151" customFormat="false" ht="15" hidden="false" customHeight="false" outlineLevel="0" collapsed="false">
      <c r="A151" s="15"/>
      <c r="B151" s="14"/>
      <c r="C151" s="14"/>
      <c r="D151" s="16"/>
      <c r="E151" s="14"/>
      <c r="F151" s="17" t="str">
        <f aca="false">IF($D151="","",IF(Configuración!$B$10="Sí",$D151/(1+Configuración!$B$8),$D151))</f>
        <v/>
      </c>
      <c r="G151" s="17" t="str">
        <f aca="false">IF($D151="","",F151*Configuración!$B$8)</f>
        <v/>
      </c>
      <c r="H151" s="17" t="str">
        <f aca="false">IF($D151="","",F151+G151)</f>
        <v/>
      </c>
      <c r="I151" s="17" t="str">
        <f aca="false">IF($D151="","",F151*Configuración!$B$9)</f>
        <v/>
      </c>
      <c r="J151" s="17" t="str">
        <f aca="false">IF($D151="","",F151-I151)</f>
        <v/>
      </c>
      <c r="K151" s="17" t="str">
        <f aca="false">IF($D151="","",J151*Configuración!$C$4)</f>
        <v/>
      </c>
      <c r="L151" s="17" t="str">
        <f aca="false">IF($D151="","",J151*Configuración!$C$5)</f>
        <v/>
      </c>
    </row>
    <row r="152" customFormat="false" ht="15" hidden="false" customHeight="false" outlineLevel="0" collapsed="false">
      <c r="A152" s="15"/>
      <c r="B152" s="14"/>
      <c r="C152" s="14"/>
      <c r="D152" s="16"/>
      <c r="E152" s="14"/>
      <c r="F152" s="17" t="str">
        <f aca="false">IF($D152="","",IF(Configuración!$B$10="Sí",$D152/(1+Configuración!$B$8),$D152))</f>
        <v/>
      </c>
      <c r="G152" s="17" t="str">
        <f aca="false">IF($D152="","",F152*Configuración!$B$8)</f>
        <v/>
      </c>
      <c r="H152" s="17" t="str">
        <f aca="false">IF($D152="","",F152+G152)</f>
        <v/>
      </c>
      <c r="I152" s="17" t="str">
        <f aca="false">IF($D152="","",F152*Configuración!$B$9)</f>
        <v/>
      </c>
      <c r="J152" s="17" t="str">
        <f aca="false">IF($D152="","",F152-I152)</f>
        <v/>
      </c>
      <c r="K152" s="17" t="str">
        <f aca="false">IF($D152="","",J152*Configuración!$C$4)</f>
        <v/>
      </c>
      <c r="L152" s="17" t="str">
        <f aca="false">IF($D152="","",J152*Configuración!$C$5)</f>
        <v/>
      </c>
    </row>
    <row r="153" customFormat="false" ht="15" hidden="false" customHeight="false" outlineLevel="0" collapsed="false">
      <c r="A153" s="15"/>
      <c r="B153" s="14"/>
      <c r="C153" s="14"/>
      <c r="D153" s="16"/>
      <c r="E153" s="14"/>
      <c r="F153" s="17" t="str">
        <f aca="false">IF($D153="","",IF(Configuración!$B$10="Sí",$D153/(1+Configuración!$B$8),$D153))</f>
        <v/>
      </c>
      <c r="G153" s="17" t="str">
        <f aca="false">IF($D153="","",F153*Configuración!$B$8)</f>
        <v/>
      </c>
      <c r="H153" s="17" t="str">
        <f aca="false">IF($D153="","",F153+G153)</f>
        <v/>
      </c>
      <c r="I153" s="17" t="str">
        <f aca="false">IF($D153="","",F153*Configuración!$B$9)</f>
        <v/>
      </c>
      <c r="J153" s="17" t="str">
        <f aca="false">IF($D153="","",F153-I153)</f>
        <v/>
      </c>
      <c r="K153" s="17" t="str">
        <f aca="false">IF($D153="","",J153*Configuración!$C$4)</f>
        <v/>
      </c>
      <c r="L153" s="17" t="str">
        <f aca="false">IF($D153="","",J153*Configuración!$C$5)</f>
        <v/>
      </c>
    </row>
    <row r="154" customFormat="false" ht="15" hidden="false" customHeight="false" outlineLevel="0" collapsed="false">
      <c r="A154" s="15"/>
      <c r="B154" s="14"/>
      <c r="C154" s="14"/>
      <c r="D154" s="16"/>
      <c r="E154" s="14"/>
      <c r="F154" s="17" t="str">
        <f aca="false">IF($D154="","",IF(Configuración!$B$10="Sí",$D154/(1+Configuración!$B$8),$D154))</f>
        <v/>
      </c>
      <c r="G154" s="17" t="str">
        <f aca="false">IF($D154="","",F154*Configuración!$B$8)</f>
        <v/>
      </c>
      <c r="H154" s="17" t="str">
        <f aca="false">IF($D154="","",F154+G154)</f>
        <v/>
      </c>
      <c r="I154" s="17" t="str">
        <f aca="false">IF($D154="","",F154*Configuración!$B$9)</f>
        <v/>
      </c>
      <c r="J154" s="17" t="str">
        <f aca="false">IF($D154="","",F154-I154)</f>
        <v/>
      </c>
      <c r="K154" s="17" t="str">
        <f aca="false">IF($D154="","",J154*Configuración!$C$4)</f>
        <v/>
      </c>
      <c r="L154" s="17" t="str">
        <f aca="false">IF($D154="","",J154*Configuración!$C$5)</f>
        <v/>
      </c>
    </row>
    <row r="155" customFormat="false" ht="15" hidden="false" customHeight="false" outlineLevel="0" collapsed="false">
      <c r="A155" s="15"/>
      <c r="B155" s="14"/>
      <c r="C155" s="14"/>
      <c r="D155" s="16"/>
      <c r="E155" s="14"/>
      <c r="F155" s="17" t="str">
        <f aca="false">IF($D155="","",IF(Configuración!$B$10="Sí",$D155/(1+Configuración!$B$8),$D155))</f>
        <v/>
      </c>
      <c r="G155" s="17" t="str">
        <f aca="false">IF($D155="","",F155*Configuración!$B$8)</f>
        <v/>
      </c>
      <c r="H155" s="17" t="str">
        <f aca="false">IF($D155="","",F155+G155)</f>
        <v/>
      </c>
      <c r="I155" s="17" t="str">
        <f aca="false">IF($D155="","",F155*Configuración!$B$9)</f>
        <v/>
      </c>
      <c r="J155" s="17" t="str">
        <f aca="false">IF($D155="","",F155-I155)</f>
        <v/>
      </c>
      <c r="K155" s="17" t="str">
        <f aca="false">IF($D155="","",J155*Configuración!$C$4)</f>
        <v/>
      </c>
      <c r="L155" s="17" t="str">
        <f aca="false">IF($D155="","",J155*Configuración!$C$5)</f>
        <v/>
      </c>
    </row>
    <row r="156" customFormat="false" ht="15" hidden="false" customHeight="false" outlineLevel="0" collapsed="false">
      <c r="A156" s="15"/>
      <c r="B156" s="14"/>
      <c r="C156" s="14"/>
      <c r="D156" s="16"/>
      <c r="E156" s="14"/>
      <c r="F156" s="17" t="str">
        <f aca="false">IF($D156="","",IF(Configuración!$B$10="Sí",$D156/(1+Configuración!$B$8),$D156))</f>
        <v/>
      </c>
      <c r="G156" s="17" t="str">
        <f aca="false">IF($D156="","",F156*Configuración!$B$8)</f>
        <v/>
      </c>
      <c r="H156" s="17" t="str">
        <f aca="false">IF($D156="","",F156+G156)</f>
        <v/>
      </c>
      <c r="I156" s="17" t="str">
        <f aca="false">IF($D156="","",F156*Configuración!$B$9)</f>
        <v/>
      </c>
      <c r="J156" s="17" t="str">
        <f aca="false">IF($D156="","",F156-I156)</f>
        <v/>
      </c>
      <c r="K156" s="17" t="str">
        <f aca="false">IF($D156="","",J156*Configuración!$C$4)</f>
        <v/>
      </c>
      <c r="L156" s="17" t="str">
        <f aca="false">IF($D156="","",J156*Configuración!$C$5)</f>
        <v/>
      </c>
    </row>
    <row r="157" customFormat="false" ht="15" hidden="false" customHeight="false" outlineLevel="0" collapsed="false">
      <c r="A157" s="15"/>
      <c r="B157" s="14"/>
      <c r="C157" s="14"/>
      <c r="D157" s="16"/>
      <c r="E157" s="14"/>
      <c r="F157" s="17" t="str">
        <f aca="false">IF($D157="","",IF(Configuración!$B$10="Sí",$D157/(1+Configuración!$B$8),$D157))</f>
        <v/>
      </c>
      <c r="G157" s="17" t="str">
        <f aca="false">IF($D157="","",F157*Configuración!$B$8)</f>
        <v/>
      </c>
      <c r="H157" s="17" t="str">
        <f aca="false">IF($D157="","",F157+G157)</f>
        <v/>
      </c>
      <c r="I157" s="17" t="str">
        <f aca="false">IF($D157="","",F157*Configuración!$B$9)</f>
        <v/>
      </c>
      <c r="J157" s="17" t="str">
        <f aca="false">IF($D157="","",F157-I157)</f>
        <v/>
      </c>
      <c r="K157" s="17" t="str">
        <f aca="false">IF($D157="","",J157*Configuración!$C$4)</f>
        <v/>
      </c>
      <c r="L157" s="17" t="str">
        <f aca="false">IF($D157="","",J157*Configuración!$C$5)</f>
        <v/>
      </c>
    </row>
    <row r="158" customFormat="false" ht="15" hidden="false" customHeight="false" outlineLevel="0" collapsed="false">
      <c r="A158" s="15"/>
      <c r="B158" s="14"/>
      <c r="C158" s="14"/>
      <c r="D158" s="16"/>
      <c r="E158" s="14"/>
      <c r="F158" s="17" t="str">
        <f aca="false">IF($D158="","",IF(Configuración!$B$10="Sí",$D158/(1+Configuración!$B$8),$D158))</f>
        <v/>
      </c>
      <c r="G158" s="17" t="str">
        <f aca="false">IF($D158="","",F158*Configuración!$B$8)</f>
        <v/>
      </c>
      <c r="H158" s="17" t="str">
        <f aca="false">IF($D158="","",F158+G158)</f>
        <v/>
      </c>
      <c r="I158" s="17" t="str">
        <f aca="false">IF($D158="","",F158*Configuración!$B$9)</f>
        <v/>
      </c>
      <c r="J158" s="17" t="str">
        <f aca="false">IF($D158="","",F158-I158)</f>
        <v/>
      </c>
      <c r="K158" s="17" t="str">
        <f aca="false">IF($D158="","",J158*Configuración!$C$4)</f>
        <v/>
      </c>
      <c r="L158" s="17" t="str">
        <f aca="false">IF($D158="","",J158*Configuración!$C$5)</f>
        <v/>
      </c>
    </row>
    <row r="159" customFormat="false" ht="15" hidden="false" customHeight="false" outlineLevel="0" collapsed="false">
      <c r="A159" s="15"/>
      <c r="B159" s="14"/>
      <c r="C159" s="14"/>
      <c r="D159" s="16"/>
      <c r="E159" s="14"/>
      <c r="F159" s="17" t="str">
        <f aca="false">IF($D159="","",IF(Configuración!$B$10="Sí",$D159/(1+Configuración!$B$8),$D159))</f>
        <v/>
      </c>
      <c r="G159" s="17" t="str">
        <f aca="false">IF($D159="","",F159*Configuración!$B$8)</f>
        <v/>
      </c>
      <c r="H159" s="17" t="str">
        <f aca="false">IF($D159="","",F159+G159)</f>
        <v/>
      </c>
      <c r="I159" s="17" t="str">
        <f aca="false">IF($D159="","",F159*Configuración!$B$9)</f>
        <v/>
      </c>
      <c r="J159" s="17" t="str">
        <f aca="false">IF($D159="","",F159-I159)</f>
        <v/>
      </c>
      <c r="K159" s="17" t="str">
        <f aca="false">IF($D159="","",J159*Configuración!$C$4)</f>
        <v/>
      </c>
      <c r="L159" s="17" t="str">
        <f aca="false">IF($D159="","",J159*Configuración!$C$5)</f>
        <v/>
      </c>
    </row>
    <row r="160" customFormat="false" ht="15" hidden="false" customHeight="false" outlineLevel="0" collapsed="false">
      <c r="A160" s="15"/>
      <c r="B160" s="14"/>
      <c r="C160" s="14"/>
      <c r="D160" s="16"/>
      <c r="E160" s="14"/>
      <c r="F160" s="17" t="str">
        <f aca="false">IF($D160="","",IF(Configuración!$B$10="Sí",$D160/(1+Configuración!$B$8),$D160))</f>
        <v/>
      </c>
      <c r="G160" s="17" t="str">
        <f aca="false">IF($D160="","",F160*Configuración!$B$8)</f>
        <v/>
      </c>
      <c r="H160" s="17" t="str">
        <f aca="false">IF($D160="","",F160+G160)</f>
        <v/>
      </c>
      <c r="I160" s="17" t="str">
        <f aca="false">IF($D160="","",F160*Configuración!$B$9)</f>
        <v/>
      </c>
      <c r="J160" s="17" t="str">
        <f aca="false">IF($D160="","",F160-I160)</f>
        <v/>
      </c>
      <c r="K160" s="17" t="str">
        <f aca="false">IF($D160="","",J160*Configuración!$C$4)</f>
        <v/>
      </c>
      <c r="L160" s="17" t="str">
        <f aca="false">IF($D160="","",J160*Configuración!$C$5)</f>
        <v/>
      </c>
    </row>
    <row r="161" customFormat="false" ht="15" hidden="false" customHeight="false" outlineLevel="0" collapsed="false">
      <c r="A161" s="15"/>
      <c r="B161" s="14"/>
      <c r="C161" s="14"/>
      <c r="D161" s="16"/>
      <c r="E161" s="14"/>
      <c r="F161" s="17" t="str">
        <f aca="false">IF($D161="","",IF(Configuración!$B$10="Sí",$D161/(1+Configuración!$B$8),$D161))</f>
        <v/>
      </c>
      <c r="G161" s="17" t="str">
        <f aca="false">IF($D161="","",F161*Configuración!$B$8)</f>
        <v/>
      </c>
      <c r="H161" s="17" t="str">
        <f aca="false">IF($D161="","",F161+G161)</f>
        <v/>
      </c>
      <c r="I161" s="17" t="str">
        <f aca="false">IF($D161="","",F161*Configuración!$B$9)</f>
        <v/>
      </c>
      <c r="J161" s="17" t="str">
        <f aca="false">IF($D161="","",F161-I161)</f>
        <v/>
      </c>
      <c r="K161" s="17" t="str">
        <f aca="false">IF($D161="","",J161*Configuración!$C$4)</f>
        <v/>
      </c>
      <c r="L161" s="17" t="str">
        <f aca="false">IF($D161="","",J161*Configuración!$C$5)</f>
        <v/>
      </c>
    </row>
    <row r="162" customFormat="false" ht="15" hidden="false" customHeight="false" outlineLevel="0" collapsed="false">
      <c r="A162" s="15"/>
      <c r="B162" s="14"/>
      <c r="C162" s="14"/>
      <c r="D162" s="16"/>
      <c r="E162" s="14"/>
      <c r="F162" s="17" t="str">
        <f aca="false">IF($D162="","",IF(Configuración!$B$10="Sí",$D162/(1+Configuración!$B$8),$D162))</f>
        <v/>
      </c>
      <c r="G162" s="17" t="str">
        <f aca="false">IF($D162="","",F162*Configuración!$B$8)</f>
        <v/>
      </c>
      <c r="H162" s="17" t="str">
        <f aca="false">IF($D162="","",F162+G162)</f>
        <v/>
      </c>
      <c r="I162" s="17" t="str">
        <f aca="false">IF($D162="","",F162*Configuración!$B$9)</f>
        <v/>
      </c>
      <c r="J162" s="17" t="str">
        <f aca="false">IF($D162="","",F162-I162)</f>
        <v/>
      </c>
      <c r="K162" s="17" t="str">
        <f aca="false">IF($D162="","",J162*Configuración!$C$4)</f>
        <v/>
      </c>
      <c r="L162" s="17" t="str">
        <f aca="false">IF($D162="","",J162*Configuración!$C$5)</f>
        <v/>
      </c>
    </row>
    <row r="163" customFormat="false" ht="15" hidden="false" customHeight="false" outlineLevel="0" collapsed="false">
      <c r="A163" s="15"/>
      <c r="B163" s="14"/>
      <c r="C163" s="14"/>
      <c r="D163" s="16"/>
      <c r="E163" s="14"/>
      <c r="F163" s="17" t="str">
        <f aca="false">IF($D163="","",IF(Configuración!$B$10="Sí",$D163/(1+Configuración!$B$8),$D163))</f>
        <v/>
      </c>
      <c r="G163" s="17" t="str">
        <f aca="false">IF($D163="","",F163*Configuración!$B$8)</f>
        <v/>
      </c>
      <c r="H163" s="17" t="str">
        <f aca="false">IF($D163="","",F163+G163)</f>
        <v/>
      </c>
      <c r="I163" s="17" t="str">
        <f aca="false">IF($D163="","",F163*Configuración!$B$9)</f>
        <v/>
      </c>
      <c r="J163" s="17" t="str">
        <f aca="false">IF($D163="","",F163-I163)</f>
        <v/>
      </c>
      <c r="K163" s="17" t="str">
        <f aca="false">IF($D163="","",J163*Configuración!$C$4)</f>
        <v/>
      </c>
      <c r="L163" s="17" t="str">
        <f aca="false">IF($D163="","",J163*Configuración!$C$5)</f>
        <v/>
      </c>
    </row>
    <row r="164" customFormat="false" ht="15" hidden="false" customHeight="false" outlineLevel="0" collapsed="false">
      <c r="A164" s="15"/>
      <c r="B164" s="14"/>
      <c r="C164" s="14"/>
      <c r="D164" s="16"/>
      <c r="E164" s="14"/>
      <c r="F164" s="17" t="str">
        <f aca="false">IF($D164="","",IF(Configuración!$B$10="Sí",$D164/(1+Configuración!$B$8),$D164))</f>
        <v/>
      </c>
      <c r="G164" s="17" t="str">
        <f aca="false">IF($D164="","",F164*Configuración!$B$8)</f>
        <v/>
      </c>
      <c r="H164" s="17" t="str">
        <f aca="false">IF($D164="","",F164+G164)</f>
        <v/>
      </c>
      <c r="I164" s="17" t="str">
        <f aca="false">IF($D164="","",F164*Configuración!$B$9)</f>
        <v/>
      </c>
      <c r="J164" s="17" t="str">
        <f aca="false">IF($D164="","",F164-I164)</f>
        <v/>
      </c>
      <c r="K164" s="17" t="str">
        <f aca="false">IF($D164="","",J164*Configuración!$C$4)</f>
        <v/>
      </c>
      <c r="L164" s="17" t="str">
        <f aca="false">IF($D164="","",J164*Configuración!$C$5)</f>
        <v/>
      </c>
    </row>
    <row r="165" customFormat="false" ht="15" hidden="false" customHeight="false" outlineLevel="0" collapsed="false">
      <c r="A165" s="15"/>
      <c r="B165" s="14"/>
      <c r="C165" s="14"/>
      <c r="D165" s="16"/>
      <c r="E165" s="14"/>
      <c r="F165" s="17" t="str">
        <f aca="false">IF($D165="","",IF(Configuración!$B$10="Sí",$D165/(1+Configuración!$B$8),$D165))</f>
        <v/>
      </c>
      <c r="G165" s="17" t="str">
        <f aca="false">IF($D165="","",F165*Configuración!$B$8)</f>
        <v/>
      </c>
      <c r="H165" s="17" t="str">
        <f aca="false">IF($D165="","",F165+G165)</f>
        <v/>
      </c>
      <c r="I165" s="17" t="str">
        <f aca="false">IF($D165="","",F165*Configuración!$B$9)</f>
        <v/>
      </c>
      <c r="J165" s="17" t="str">
        <f aca="false">IF($D165="","",F165-I165)</f>
        <v/>
      </c>
      <c r="K165" s="17" t="str">
        <f aca="false">IF($D165="","",J165*Configuración!$C$4)</f>
        <v/>
      </c>
      <c r="L165" s="17" t="str">
        <f aca="false">IF($D165="","",J165*Configuración!$C$5)</f>
        <v/>
      </c>
    </row>
    <row r="166" customFormat="false" ht="15" hidden="false" customHeight="false" outlineLevel="0" collapsed="false">
      <c r="A166" s="15"/>
      <c r="B166" s="14"/>
      <c r="C166" s="14"/>
      <c r="D166" s="16"/>
      <c r="E166" s="14"/>
      <c r="F166" s="17" t="str">
        <f aca="false">IF($D166="","",IF(Configuración!$B$10="Sí",$D166/(1+Configuración!$B$8),$D166))</f>
        <v/>
      </c>
      <c r="G166" s="17" t="str">
        <f aca="false">IF($D166="","",F166*Configuración!$B$8)</f>
        <v/>
      </c>
      <c r="H166" s="17" t="str">
        <f aca="false">IF($D166="","",F166+G166)</f>
        <v/>
      </c>
      <c r="I166" s="17" t="str">
        <f aca="false">IF($D166="","",F166*Configuración!$B$9)</f>
        <v/>
      </c>
      <c r="J166" s="17" t="str">
        <f aca="false">IF($D166="","",F166-I166)</f>
        <v/>
      </c>
      <c r="K166" s="17" t="str">
        <f aca="false">IF($D166="","",J166*Configuración!$C$4)</f>
        <v/>
      </c>
      <c r="L166" s="17" t="str">
        <f aca="false">IF($D166="","",J166*Configuración!$C$5)</f>
        <v/>
      </c>
    </row>
    <row r="167" customFormat="false" ht="15" hidden="false" customHeight="false" outlineLevel="0" collapsed="false">
      <c r="A167" s="15"/>
      <c r="B167" s="14"/>
      <c r="C167" s="14"/>
      <c r="D167" s="16"/>
      <c r="E167" s="14"/>
      <c r="F167" s="17" t="str">
        <f aca="false">IF($D167="","",IF(Configuración!$B$10="Sí",$D167/(1+Configuración!$B$8),$D167))</f>
        <v/>
      </c>
      <c r="G167" s="17" t="str">
        <f aca="false">IF($D167="","",F167*Configuración!$B$8)</f>
        <v/>
      </c>
      <c r="H167" s="17" t="str">
        <f aca="false">IF($D167="","",F167+G167)</f>
        <v/>
      </c>
      <c r="I167" s="17" t="str">
        <f aca="false">IF($D167="","",F167*Configuración!$B$9)</f>
        <v/>
      </c>
      <c r="J167" s="17" t="str">
        <f aca="false">IF($D167="","",F167-I167)</f>
        <v/>
      </c>
      <c r="K167" s="17" t="str">
        <f aca="false">IF($D167="","",J167*Configuración!$C$4)</f>
        <v/>
      </c>
      <c r="L167" s="17" t="str">
        <f aca="false">IF($D167="","",J167*Configuración!$C$5)</f>
        <v/>
      </c>
    </row>
    <row r="168" customFormat="false" ht="15" hidden="false" customHeight="false" outlineLevel="0" collapsed="false">
      <c r="A168" s="15"/>
      <c r="B168" s="14"/>
      <c r="C168" s="14"/>
      <c r="D168" s="16"/>
      <c r="E168" s="14"/>
      <c r="F168" s="17" t="str">
        <f aca="false">IF($D168="","",IF(Configuración!$B$10="Sí",$D168/(1+Configuración!$B$8),$D168))</f>
        <v/>
      </c>
      <c r="G168" s="17" t="str">
        <f aca="false">IF($D168="","",F168*Configuración!$B$8)</f>
        <v/>
      </c>
      <c r="H168" s="17" t="str">
        <f aca="false">IF($D168="","",F168+G168)</f>
        <v/>
      </c>
      <c r="I168" s="17" t="str">
        <f aca="false">IF($D168="","",F168*Configuración!$B$9)</f>
        <v/>
      </c>
      <c r="J168" s="17" t="str">
        <f aca="false">IF($D168="","",F168-I168)</f>
        <v/>
      </c>
      <c r="K168" s="17" t="str">
        <f aca="false">IF($D168="","",J168*Configuración!$C$4)</f>
        <v/>
      </c>
      <c r="L168" s="17" t="str">
        <f aca="false">IF($D168="","",J168*Configuración!$C$5)</f>
        <v/>
      </c>
    </row>
    <row r="169" customFormat="false" ht="15" hidden="false" customHeight="false" outlineLevel="0" collapsed="false">
      <c r="A169" s="15"/>
      <c r="B169" s="14"/>
      <c r="C169" s="14"/>
      <c r="D169" s="16"/>
      <c r="E169" s="14"/>
      <c r="F169" s="17" t="str">
        <f aca="false">IF($D169="","",IF(Configuración!$B$10="Sí",$D169/(1+Configuración!$B$8),$D169))</f>
        <v/>
      </c>
      <c r="G169" s="17" t="str">
        <f aca="false">IF($D169="","",F169*Configuración!$B$8)</f>
        <v/>
      </c>
      <c r="H169" s="17" t="str">
        <f aca="false">IF($D169="","",F169+G169)</f>
        <v/>
      </c>
      <c r="I169" s="17" t="str">
        <f aca="false">IF($D169="","",F169*Configuración!$B$9)</f>
        <v/>
      </c>
      <c r="J169" s="17" t="str">
        <f aca="false">IF($D169="","",F169-I169)</f>
        <v/>
      </c>
      <c r="K169" s="17" t="str">
        <f aca="false">IF($D169="","",J169*Configuración!$C$4)</f>
        <v/>
      </c>
      <c r="L169" s="17" t="str">
        <f aca="false">IF($D169="","",J169*Configuración!$C$5)</f>
        <v/>
      </c>
    </row>
    <row r="170" customFormat="false" ht="15" hidden="false" customHeight="false" outlineLevel="0" collapsed="false">
      <c r="A170" s="15"/>
      <c r="B170" s="14"/>
      <c r="C170" s="14"/>
      <c r="D170" s="16"/>
      <c r="E170" s="14"/>
      <c r="F170" s="17" t="str">
        <f aca="false">IF($D170="","",IF(Configuración!$B$10="Sí",$D170/(1+Configuración!$B$8),$D170))</f>
        <v/>
      </c>
      <c r="G170" s="17" t="str">
        <f aca="false">IF($D170="","",F170*Configuración!$B$8)</f>
        <v/>
      </c>
      <c r="H170" s="17" t="str">
        <f aca="false">IF($D170="","",F170+G170)</f>
        <v/>
      </c>
      <c r="I170" s="17" t="str">
        <f aca="false">IF($D170="","",F170*Configuración!$B$9)</f>
        <v/>
      </c>
      <c r="J170" s="17" t="str">
        <f aca="false">IF($D170="","",F170-I170)</f>
        <v/>
      </c>
      <c r="K170" s="17" t="str">
        <f aca="false">IF($D170="","",J170*Configuración!$C$4)</f>
        <v/>
      </c>
      <c r="L170" s="17" t="str">
        <f aca="false">IF($D170="","",J170*Configuración!$C$5)</f>
        <v/>
      </c>
    </row>
    <row r="171" customFormat="false" ht="15" hidden="false" customHeight="false" outlineLevel="0" collapsed="false">
      <c r="A171" s="15"/>
      <c r="B171" s="14"/>
      <c r="C171" s="14"/>
      <c r="D171" s="16"/>
      <c r="E171" s="14"/>
      <c r="F171" s="17" t="str">
        <f aca="false">IF($D171="","",IF(Configuración!$B$10="Sí",$D171/(1+Configuración!$B$8),$D171))</f>
        <v/>
      </c>
      <c r="G171" s="17" t="str">
        <f aca="false">IF($D171="","",F171*Configuración!$B$8)</f>
        <v/>
      </c>
      <c r="H171" s="17" t="str">
        <f aca="false">IF($D171="","",F171+G171)</f>
        <v/>
      </c>
      <c r="I171" s="17" t="str">
        <f aca="false">IF($D171="","",F171*Configuración!$B$9)</f>
        <v/>
      </c>
      <c r="J171" s="17" t="str">
        <f aca="false">IF($D171="","",F171-I171)</f>
        <v/>
      </c>
      <c r="K171" s="17" t="str">
        <f aca="false">IF($D171="","",J171*Configuración!$C$4)</f>
        <v/>
      </c>
      <c r="L171" s="17" t="str">
        <f aca="false">IF($D171="","",J171*Configuración!$C$5)</f>
        <v/>
      </c>
    </row>
    <row r="172" customFormat="false" ht="15" hidden="false" customHeight="false" outlineLevel="0" collapsed="false">
      <c r="A172" s="15"/>
      <c r="B172" s="14"/>
      <c r="C172" s="14"/>
      <c r="D172" s="16"/>
      <c r="E172" s="14"/>
      <c r="F172" s="17" t="str">
        <f aca="false">IF($D172="","",IF(Configuración!$B$10="Sí",$D172/(1+Configuración!$B$8),$D172))</f>
        <v/>
      </c>
      <c r="G172" s="17" t="str">
        <f aca="false">IF($D172="","",F172*Configuración!$B$8)</f>
        <v/>
      </c>
      <c r="H172" s="17" t="str">
        <f aca="false">IF($D172="","",F172+G172)</f>
        <v/>
      </c>
      <c r="I172" s="17" t="str">
        <f aca="false">IF($D172="","",F172*Configuración!$B$9)</f>
        <v/>
      </c>
      <c r="J172" s="17" t="str">
        <f aca="false">IF($D172="","",F172-I172)</f>
        <v/>
      </c>
      <c r="K172" s="17" t="str">
        <f aca="false">IF($D172="","",J172*Configuración!$C$4)</f>
        <v/>
      </c>
      <c r="L172" s="17" t="str">
        <f aca="false">IF($D172="","",J172*Configuración!$C$5)</f>
        <v/>
      </c>
    </row>
    <row r="173" customFormat="false" ht="15" hidden="false" customHeight="false" outlineLevel="0" collapsed="false">
      <c r="A173" s="15"/>
      <c r="B173" s="14"/>
      <c r="C173" s="14"/>
      <c r="D173" s="16"/>
      <c r="E173" s="14"/>
      <c r="F173" s="17" t="str">
        <f aca="false">IF($D173="","",IF(Configuración!$B$10="Sí",$D173/(1+Configuración!$B$8),$D173))</f>
        <v/>
      </c>
      <c r="G173" s="17" t="str">
        <f aca="false">IF($D173="","",F173*Configuración!$B$8)</f>
        <v/>
      </c>
      <c r="H173" s="17" t="str">
        <f aca="false">IF($D173="","",F173+G173)</f>
        <v/>
      </c>
      <c r="I173" s="17" t="str">
        <f aca="false">IF($D173="","",F173*Configuración!$B$9)</f>
        <v/>
      </c>
      <c r="J173" s="17" t="str">
        <f aca="false">IF($D173="","",F173-I173)</f>
        <v/>
      </c>
      <c r="K173" s="17" t="str">
        <f aca="false">IF($D173="","",J173*Configuración!$C$4)</f>
        <v/>
      </c>
      <c r="L173" s="17" t="str">
        <f aca="false">IF($D173="","",J173*Configuración!$C$5)</f>
        <v/>
      </c>
    </row>
    <row r="174" customFormat="false" ht="15" hidden="false" customHeight="false" outlineLevel="0" collapsed="false">
      <c r="A174" s="15"/>
      <c r="B174" s="14"/>
      <c r="C174" s="14"/>
      <c r="D174" s="16"/>
      <c r="E174" s="14"/>
      <c r="F174" s="17" t="str">
        <f aca="false">IF($D174="","",IF(Configuración!$B$10="Sí",$D174/(1+Configuración!$B$8),$D174))</f>
        <v/>
      </c>
      <c r="G174" s="17" t="str">
        <f aca="false">IF($D174="","",F174*Configuración!$B$8)</f>
        <v/>
      </c>
      <c r="H174" s="17" t="str">
        <f aca="false">IF($D174="","",F174+G174)</f>
        <v/>
      </c>
      <c r="I174" s="17" t="str">
        <f aca="false">IF($D174="","",F174*Configuración!$B$9)</f>
        <v/>
      </c>
      <c r="J174" s="17" t="str">
        <f aca="false">IF($D174="","",F174-I174)</f>
        <v/>
      </c>
      <c r="K174" s="17" t="str">
        <f aca="false">IF($D174="","",J174*Configuración!$C$4)</f>
        <v/>
      </c>
      <c r="L174" s="17" t="str">
        <f aca="false">IF($D174="","",J174*Configuración!$C$5)</f>
        <v/>
      </c>
    </row>
    <row r="175" customFormat="false" ht="15" hidden="false" customHeight="false" outlineLevel="0" collapsed="false">
      <c r="A175" s="15"/>
      <c r="B175" s="14"/>
      <c r="C175" s="14"/>
      <c r="D175" s="16"/>
      <c r="E175" s="14"/>
      <c r="F175" s="17" t="str">
        <f aca="false">IF($D175="","",IF(Configuración!$B$10="Sí",$D175/(1+Configuración!$B$8),$D175))</f>
        <v/>
      </c>
      <c r="G175" s="17" t="str">
        <f aca="false">IF($D175="","",F175*Configuración!$B$8)</f>
        <v/>
      </c>
      <c r="H175" s="17" t="str">
        <f aca="false">IF($D175="","",F175+G175)</f>
        <v/>
      </c>
      <c r="I175" s="17" t="str">
        <f aca="false">IF($D175="","",F175*Configuración!$B$9)</f>
        <v/>
      </c>
      <c r="J175" s="17" t="str">
        <f aca="false">IF($D175="","",F175-I175)</f>
        <v/>
      </c>
      <c r="K175" s="17" t="str">
        <f aca="false">IF($D175="","",J175*Configuración!$C$4)</f>
        <v/>
      </c>
      <c r="L175" s="17" t="str">
        <f aca="false">IF($D175="","",J175*Configuración!$C$5)</f>
        <v/>
      </c>
    </row>
    <row r="176" customFormat="false" ht="15" hidden="false" customHeight="false" outlineLevel="0" collapsed="false">
      <c r="A176" s="15"/>
      <c r="B176" s="14"/>
      <c r="C176" s="14"/>
      <c r="D176" s="16"/>
      <c r="E176" s="14"/>
      <c r="F176" s="17" t="str">
        <f aca="false">IF($D176="","",IF(Configuración!$B$10="Sí",$D176/(1+Configuración!$B$8),$D176))</f>
        <v/>
      </c>
      <c r="G176" s="17" t="str">
        <f aca="false">IF($D176="","",F176*Configuración!$B$8)</f>
        <v/>
      </c>
      <c r="H176" s="17" t="str">
        <f aca="false">IF($D176="","",F176+G176)</f>
        <v/>
      </c>
      <c r="I176" s="17" t="str">
        <f aca="false">IF($D176="","",F176*Configuración!$B$9)</f>
        <v/>
      </c>
      <c r="J176" s="17" t="str">
        <f aca="false">IF($D176="","",F176-I176)</f>
        <v/>
      </c>
      <c r="K176" s="17" t="str">
        <f aca="false">IF($D176="","",J176*Configuración!$C$4)</f>
        <v/>
      </c>
      <c r="L176" s="17" t="str">
        <f aca="false">IF($D176="","",J176*Configuración!$C$5)</f>
        <v/>
      </c>
    </row>
    <row r="177" customFormat="false" ht="15" hidden="false" customHeight="false" outlineLevel="0" collapsed="false">
      <c r="A177" s="15"/>
      <c r="B177" s="14"/>
      <c r="C177" s="14"/>
      <c r="D177" s="16"/>
      <c r="E177" s="14"/>
      <c r="F177" s="17" t="str">
        <f aca="false">IF($D177="","",IF(Configuración!$B$10="Sí",$D177/(1+Configuración!$B$8),$D177))</f>
        <v/>
      </c>
      <c r="G177" s="17" t="str">
        <f aca="false">IF($D177="","",F177*Configuración!$B$8)</f>
        <v/>
      </c>
      <c r="H177" s="17" t="str">
        <f aca="false">IF($D177="","",F177+G177)</f>
        <v/>
      </c>
      <c r="I177" s="17" t="str">
        <f aca="false">IF($D177="","",F177*Configuración!$B$9)</f>
        <v/>
      </c>
      <c r="J177" s="17" t="str">
        <f aca="false">IF($D177="","",F177-I177)</f>
        <v/>
      </c>
      <c r="K177" s="17" t="str">
        <f aca="false">IF($D177="","",J177*Configuración!$C$4)</f>
        <v/>
      </c>
      <c r="L177" s="17" t="str">
        <f aca="false">IF($D177="","",J177*Configuración!$C$5)</f>
        <v/>
      </c>
    </row>
    <row r="178" customFormat="false" ht="15" hidden="false" customHeight="false" outlineLevel="0" collapsed="false">
      <c r="A178" s="15"/>
      <c r="B178" s="14"/>
      <c r="C178" s="14"/>
      <c r="D178" s="16"/>
      <c r="E178" s="14"/>
      <c r="F178" s="17" t="str">
        <f aca="false">IF($D178="","",IF(Configuración!$B$10="Sí",$D178/(1+Configuración!$B$8),$D178))</f>
        <v/>
      </c>
      <c r="G178" s="17" t="str">
        <f aca="false">IF($D178="","",F178*Configuración!$B$8)</f>
        <v/>
      </c>
      <c r="H178" s="17" t="str">
        <f aca="false">IF($D178="","",F178+G178)</f>
        <v/>
      </c>
      <c r="I178" s="17" t="str">
        <f aca="false">IF($D178="","",F178*Configuración!$B$9)</f>
        <v/>
      </c>
      <c r="J178" s="17" t="str">
        <f aca="false">IF($D178="","",F178-I178)</f>
        <v/>
      </c>
      <c r="K178" s="17" t="str">
        <f aca="false">IF($D178="","",J178*Configuración!$C$4)</f>
        <v/>
      </c>
      <c r="L178" s="17" t="str">
        <f aca="false">IF($D178="","",J178*Configuración!$C$5)</f>
        <v/>
      </c>
    </row>
    <row r="179" customFormat="false" ht="15" hidden="false" customHeight="false" outlineLevel="0" collapsed="false">
      <c r="A179" s="15"/>
      <c r="B179" s="14"/>
      <c r="C179" s="14"/>
      <c r="D179" s="16"/>
      <c r="E179" s="14"/>
      <c r="F179" s="17" t="str">
        <f aca="false">IF($D179="","",IF(Configuración!$B$10="Sí",$D179/(1+Configuración!$B$8),$D179))</f>
        <v/>
      </c>
      <c r="G179" s="17" t="str">
        <f aca="false">IF($D179="","",F179*Configuración!$B$8)</f>
        <v/>
      </c>
      <c r="H179" s="17" t="str">
        <f aca="false">IF($D179="","",F179+G179)</f>
        <v/>
      </c>
      <c r="I179" s="17" t="str">
        <f aca="false">IF($D179="","",F179*Configuración!$B$9)</f>
        <v/>
      </c>
      <c r="J179" s="17" t="str">
        <f aca="false">IF($D179="","",F179-I179)</f>
        <v/>
      </c>
      <c r="K179" s="17" t="str">
        <f aca="false">IF($D179="","",J179*Configuración!$C$4)</f>
        <v/>
      </c>
      <c r="L179" s="17" t="str">
        <f aca="false">IF($D179="","",J179*Configuración!$C$5)</f>
        <v/>
      </c>
    </row>
    <row r="180" customFormat="false" ht="15" hidden="false" customHeight="false" outlineLevel="0" collapsed="false">
      <c r="A180" s="15"/>
      <c r="B180" s="14"/>
      <c r="C180" s="14"/>
      <c r="D180" s="16"/>
      <c r="E180" s="14"/>
      <c r="F180" s="17" t="str">
        <f aca="false">IF($D180="","",IF(Configuración!$B$10="Sí",$D180/(1+Configuración!$B$8),$D180))</f>
        <v/>
      </c>
      <c r="G180" s="17" t="str">
        <f aca="false">IF($D180="","",F180*Configuración!$B$8)</f>
        <v/>
      </c>
      <c r="H180" s="17" t="str">
        <f aca="false">IF($D180="","",F180+G180)</f>
        <v/>
      </c>
      <c r="I180" s="17" t="str">
        <f aca="false">IF($D180="","",F180*Configuración!$B$9)</f>
        <v/>
      </c>
      <c r="J180" s="17" t="str">
        <f aca="false">IF($D180="","",F180-I180)</f>
        <v/>
      </c>
      <c r="K180" s="17" t="str">
        <f aca="false">IF($D180="","",J180*Configuración!$C$4)</f>
        <v/>
      </c>
      <c r="L180" s="17" t="str">
        <f aca="false">IF($D180="","",J180*Configuración!$C$5)</f>
        <v/>
      </c>
    </row>
    <row r="181" customFormat="false" ht="15" hidden="false" customHeight="false" outlineLevel="0" collapsed="false">
      <c r="A181" s="15"/>
      <c r="B181" s="14"/>
      <c r="C181" s="14"/>
      <c r="D181" s="16"/>
      <c r="E181" s="14"/>
      <c r="F181" s="17" t="str">
        <f aca="false">IF($D181="","",IF(Configuración!$B$10="Sí",$D181/(1+Configuración!$B$8),$D181))</f>
        <v/>
      </c>
      <c r="G181" s="17" t="str">
        <f aca="false">IF($D181="","",F181*Configuración!$B$8)</f>
        <v/>
      </c>
      <c r="H181" s="17" t="str">
        <f aca="false">IF($D181="","",F181+G181)</f>
        <v/>
      </c>
      <c r="I181" s="17" t="str">
        <f aca="false">IF($D181="","",F181*Configuración!$B$9)</f>
        <v/>
      </c>
      <c r="J181" s="17" t="str">
        <f aca="false">IF($D181="","",F181-I181)</f>
        <v/>
      </c>
      <c r="K181" s="17" t="str">
        <f aca="false">IF($D181="","",J181*Configuración!$C$4)</f>
        <v/>
      </c>
      <c r="L181" s="17" t="str">
        <f aca="false">IF($D181="","",J181*Configuración!$C$5)</f>
        <v/>
      </c>
    </row>
    <row r="182" customFormat="false" ht="15" hidden="false" customHeight="false" outlineLevel="0" collapsed="false">
      <c r="A182" s="15"/>
      <c r="B182" s="14"/>
      <c r="C182" s="14"/>
      <c r="D182" s="16"/>
      <c r="E182" s="14"/>
      <c r="F182" s="17" t="str">
        <f aca="false">IF($D182="","",IF(Configuración!$B$10="Sí",$D182/(1+Configuración!$B$8),$D182))</f>
        <v/>
      </c>
      <c r="G182" s="17" t="str">
        <f aca="false">IF($D182="","",F182*Configuración!$B$8)</f>
        <v/>
      </c>
      <c r="H182" s="17" t="str">
        <f aca="false">IF($D182="","",F182+G182)</f>
        <v/>
      </c>
      <c r="I182" s="17" t="str">
        <f aca="false">IF($D182="","",F182*Configuración!$B$9)</f>
        <v/>
      </c>
      <c r="J182" s="17" t="str">
        <f aca="false">IF($D182="","",F182-I182)</f>
        <v/>
      </c>
      <c r="K182" s="17" t="str">
        <f aca="false">IF($D182="","",J182*Configuración!$C$4)</f>
        <v/>
      </c>
      <c r="L182" s="17" t="str">
        <f aca="false">IF($D182="","",J182*Configuración!$C$5)</f>
        <v/>
      </c>
    </row>
    <row r="183" customFormat="false" ht="15" hidden="false" customHeight="false" outlineLevel="0" collapsed="false">
      <c r="A183" s="15"/>
      <c r="B183" s="14"/>
      <c r="C183" s="14"/>
      <c r="D183" s="16"/>
      <c r="E183" s="14"/>
      <c r="F183" s="17" t="str">
        <f aca="false">IF($D183="","",IF(Configuración!$B$10="Sí",$D183/(1+Configuración!$B$8),$D183))</f>
        <v/>
      </c>
      <c r="G183" s="17" t="str">
        <f aca="false">IF($D183="","",F183*Configuración!$B$8)</f>
        <v/>
      </c>
      <c r="H183" s="17" t="str">
        <f aca="false">IF($D183="","",F183+G183)</f>
        <v/>
      </c>
      <c r="I183" s="17" t="str">
        <f aca="false">IF($D183="","",F183*Configuración!$B$9)</f>
        <v/>
      </c>
      <c r="J183" s="17" t="str">
        <f aca="false">IF($D183="","",F183-I183)</f>
        <v/>
      </c>
      <c r="K183" s="17" t="str">
        <f aca="false">IF($D183="","",J183*Configuración!$C$4)</f>
        <v/>
      </c>
      <c r="L183" s="17" t="str">
        <f aca="false">IF($D183="","",J183*Configuración!$C$5)</f>
        <v/>
      </c>
    </row>
    <row r="184" customFormat="false" ht="15" hidden="false" customHeight="false" outlineLevel="0" collapsed="false">
      <c r="A184" s="15"/>
      <c r="B184" s="14"/>
      <c r="C184" s="14"/>
      <c r="D184" s="16"/>
      <c r="E184" s="14"/>
      <c r="F184" s="17" t="str">
        <f aca="false">IF($D184="","",IF(Configuración!$B$10="Sí",$D184/(1+Configuración!$B$8),$D184))</f>
        <v/>
      </c>
      <c r="G184" s="17" t="str">
        <f aca="false">IF($D184="","",F184*Configuración!$B$8)</f>
        <v/>
      </c>
      <c r="H184" s="17" t="str">
        <f aca="false">IF($D184="","",F184+G184)</f>
        <v/>
      </c>
      <c r="I184" s="17" t="str">
        <f aca="false">IF($D184="","",F184*Configuración!$B$9)</f>
        <v/>
      </c>
      <c r="J184" s="17" t="str">
        <f aca="false">IF($D184="","",F184-I184)</f>
        <v/>
      </c>
      <c r="K184" s="17" t="str">
        <f aca="false">IF($D184="","",J184*Configuración!$C$4)</f>
        <v/>
      </c>
      <c r="L184" s="17" t="str">
        <f aca="false">IF($D184="","",J184*Configuración!$C$5)</f>
        <v/>
      </c>
    </row>
    <row r="185" customFormat="false" ht="15" hidden="false" customHeight="false" outlineLevel="0" collapsed="false">
      <c r="A185" s="15"/>
      <c r="B185" s="14"/>
      <c r="C185" s="14"/>
      <c r="D185" s="16"/>
      <c r="E185" s="14"/>
      <c r="F185" s="17" t="str">
        <f aca="false">IF($D185="","",IF(Configuración!$B$10="Sí",$D185/(1+Configuración!$B$8),$D185))</f>
        <v/>
      </c>
      <c r="G185" s="17" t="str">
        <f aca="false">IF($D185="","",F185*Configuración!$B$8)</f>
        <v/>
      </c>
      <c r="H185" s="17" t="str">
        <f aca="false">IF($D185="","",F185+G185)</f>
        <v/>
      </c>
      <c r="I185" s="17" t="str">
        <f aca="false">IF($D185="","",F185*Configuración!$B$9)</f>
        <v/>
      </c>
      <c r="J185" s="17" t="str">
        <f aca="false">IF($D185="","",F185-I185)</f>
        <v/>
      </c>
      <c r="K185" s="17" t="str">
        <f aca="false">IF($D185="","",J185*Configuración!$C$4)</f>
        <v/>
      </c>
      <c r="L185" s="17" t="str">
        <f aca="false">IF($D185="","",J185*Configuración!$C$5)</f>
        <v/>
      </c>
    </row>
    <row r="186" customFormat="false" ht="15" hidden="false" customHeight="false" outlineLevel="0" collapsed="false">
      <c r="A186" s="15"/>
      <c r="B186" s="14"/>
      <c r="C186" s="14"/>
      <c r="D186" s="16"/>
      <c r="E186" s="14"/>
      <c r="F186" s="17" t="str">
        <f aca="false">IF($D186="","",IF(Configuración!$B$10="Sí",$D186/(1+Configuración!$B$8),$D186))</f>
        <v/>
      </c>
      <c r="G186" s="17" t="str">
        <f aca="false">IF($D186="","",F186*Configuración!$B$8)</f>
        <v/>
      </c>
      <c r="H186" s="17" t="str">
        <f aca="false">IF($D186="","",F186+G186)</f>
        <v/>
      </c>
      <c r="I186" s="17" t="str">
        <f aca="false">IF($D186="","",F186*Configuración!$B$9)</f>
        <v/>
      </c>
      <c r="J186" s="17" t="str">
        <f aca="false">IF($D186="","",F186-I186)</f>
        <v/>
      </c>
      <c r="K186" s="17" t="str">
        <f aca="false">IF($D186="","",J186*Configuración!$C$4)</f>
        <v/>
      </c>
      <c r="L186" s="17" t="str">
        <f aca="false">IF($D186="","",J186*Configuración!$C$5)</f>
        <v/>
      </c>
    </row>
    <row r="187" customFormat="false" ht="15" hidden="false" customHeight="false" outlineLevel="0" collapsed="false">
      <c r="A187" s="15"/>
      <c r="B187" s="14"/>
      <c r="C187" s="14"/>
      <c r="D187" s="16"/>
      <c r="E187" s="14"/>
      <c r="F187" s="17" t="str">
        <f aca="false">IF($D187="","",IF(Configuración!$B$10="Sí",$D187/(1+Configuración!$B$8),$D187))</f>
        <v/>
      </c>
      <c r="G187" s="17" t="str">
        <f aca="false">IF($D187="","",F187*Configuración!$B$8)</f>
        <v/>
      </c>
      <c r="H187" s="17" t="str">
        <f aca="false">IF($D187="","",F187+G187)</f>
        <v/>
      </c>
      <c r="I187" s="17" t="str">
        <f aca="false">IF($D187="","",F187*Configuración!$B$9)</f>
        <v/>
      </c>
      <c r="J187" s="17" t="str">
        <f aca="false">IF($D187="","",F187-I187)</f>
        <v/>
      </c>
      <c r="K187" s="17" t="str">
        <f aca="false">IF($D187="","",J187*Configuración!$C$4)</f>
        <v/>
      </c>
      <c r="L187" s="17" t="str">
        <f aca="false">IF($D187="","",J187*Configuración!$C$5)</f>
        <v/>
      </c>
    </row>
    <row r="188" customFormat="false" ht="15" hidden="false" customHeight="false" outlineLevel="0" collapsed="false">
      <c r="A188" s="15"/>
      <c r="B188" s="14"/>
      <c r="C188" s="14"/>
      <c r="D188" s="16"/>
      <c r="E188" s="14"/>
      <c r="F188" s="17" t="str">
        <f aca="false">IF($D188="","",IF(Configuración!$B$10="Sí",$D188/(1+Configuración!$B$8),$D188))</f>
        <v/>
      </c>
      <c r="G188" s="17" t="str">
        <f aca="false">IF($D188="","",F188*Configuración!$B$8)</f>
        <v/>
      </c>
      <c r="H188" s="17" t="str">
        <f aca="false">IF($D188="","",F188+G188)</f>
        <v/>
      </c>
      <c r="I188" s="17" t="str">
        <f aca="false">IF($D188="","",F188*Configuración!$B$9)</f>
        <v/>
      </c>
      <c r="J188" s="17" t="str">
        <f aca="false">IF($D188="","",F188-I188)</f>
        <v/>
      </c>
      <c r="K188" s="17" t="str">
        <f aca="false">IF($D188="","",J188*Configuración!$C$4)</f>
        <v/>
      </c>
      <c r="L188" s="17" t="str">
        <f aca="false">IF($D188="","",J188*Configuración!$C$5)</f>
        <v/>
      </c>
    </row>
    <row r="189" customFormat="false" ht="15" hidden="false" customHeight="false" outlineLevel="0" collapsed="false">
      <c r="A189" s="15"/>
      <c r="B189" s="14"/>
      <c r="C189" s="14"/>
      <c r="D189" s="16"/>
      <c r="E189" s="14"/>
      <c r="F189" s="17" t="str">
        <f aca="false">IF($D189="","",IF(Configuración!$B$10="Sí",$D189/(1+Configuración!$B$8),$D189))</f>
        <v/>
      </c>
      <c r="G189" s="17" t="str">
        <f aca="false">IF($D189="","",F189*Configuración!$B$8)</f>
        <v/>
      </c>
      <c r="H189" s="17" t="str">
        <f aca="false">IF($D189="","",F189+G189)</f>
        <v/>
      </c>
      <c r="I189" s="17" t="str">
        <f aca="false">IF($D189="","",F189*Configuración!$B$9)</f>
        <v/>
      </c>
      <c r="J189" s="17" t="str">
        <f aca="false">IF($D189="","",F189-I189)</f>
        <v/>
      </c>
      <c r="K189" s="17" t="str">
        <f aca="false">IF($D189="","",J189*Configuración!$C$4)</f>
        <v/>
      </c>
      <c r="L189" s="17" t="str">
        <f aca="false">IF($D189="","",J189*Configuración!$C$5)</f>
        <v/>
      </c>
    </row>
    <row r="190" customFormat="false" ht="15" hidden="false" customHeight="false" outlineLevel="0" collapsed="false">
      <c r="A190" s="15"/>
      <c r="B190" s="14"/>
      <c r="C190" s="14"/>
      <c r="D190" s="16"/>
      <c r="E190" s="14"/>
      <c r="F190" s="17" t="str">
        <f aca="false">IF($D190="","",IF(Configuración!$B$10="Sí",$D190/(1+Configuración!$B$8),$D190))</f>
        <v/>
      </c>
      <c r="G190" s="17" t="str">
        <f aca="false">IF($D190="","",F190*Configuración!$B$8)</f>
        <v/>
      </c>
      <c r="H190" s="17" t="str">
        <f aca="false">IF($D190="","",F190+G190)</f>
        <v/>
      </c>
      <c r="I190" s="17" t="str">
        <f aca="false">IF($D190="","",F190*Configuración!$B$9)</f>
        <v/>
      </c>
      <c r="J190" s="17" t="str">
        <f aca="false">IF($D190="","",F190-I190)</f>
        <v/>
      </c>
      <c r="K190" s="17" t="str">
        <f aca="false">IF($D190="","",J190*Configuración!$C$4)</f>
        <v/>
      </c>
      <c r="L190" s="17" t="str">
        <f aca="false">IF($D190="","",J190*Configuración!$C$5)</f>
        <v/>
      </c>
    </row>
    <row r="191" customFormat="false" ht="15" hidden="false" customHeight="false" outlineLevel="0" collapsed="false">
      <c r="A191" s="15"/>
      <c r="B191" s="14"/>
      <c r="C191" s="14"/>
      <c r="D191" s="16"/>
      <c r="E191" s="14"/>
      <c r="F191" s="17" t="str">
        <f aca="false">IF($D191="","",IF(Configuración!$B$10="Sí",$D191/(1+Configuración!$B$8),$D191))</f>
        <v/>
      </c>
      <c r="G191" s="17" t="str">
        <f aca="false">IF($D191="","",F191*Configuración!$B$8)</f>
        <v/>
      </c>
      <c r="H191" s="17" t="str">
        <f aca="false">IF($D191="","",F191+G191)</f>
        <v/>
      </c>
      <c r="I191" s="17" t="str">
        <f aca="false">IF($D191="","",F191*Configuración!$B$9)</f>
        <v/>
      </c>
      <c r="J191" s="17" t="str">
        <f aca="false">IF($D191="","",F191-I191)</f>
        <v/>
      </c>
      <c r="K191" s="17" t="str">
        <f aca="false">IF($D191="","",J191*Configuración!$C$4)</f>
        <v/>
      </c>
      <c r="L191" s="17" t="str">
        <f aca="false">IF($D191="","",J191*Configuración!$C$5)</f>
        <v/>
      </c>
    </row>
    <row r="192" customFormat="false" ht="15" hidden="false" customHeight="false" outlineLevel="0" collapsed="false">
      <c r="A192" s="15"/>
      <c r="B192" s="14"/>
      <c r="C192" s="14"/>
      <c r="D192" s="16"/>
      <c r="E192" s="14"/>
      <c r="F192" s="17" t="str">
        <f aca="false">IF($D192="","",IF(Configuración!$B$10="Sí",$D192/(1+Configuración!$B$8),$D192))</f>
        <v/>
      </c>
      <c r="G192" s="17" t="str">
        <f aca="false">IF($D192="","",F192*Configuración!$B$8)</f>
        <v/>
      </c>
      <c r="H192" s="17" t="str">
        <f aca="false">IF($D192="","",F192+G192)</f>
        <v/>
      </c>
      <c r="I192" s="17" t="str">
        <f aca="false">IF($D192="","",F192*Configuración!$B$9)</f>
        <v/>
      </c>
      <c r="J192" s="17" t="str">
        <f aca="false">IF($D192="","",F192-I192)</f>
        <v/>
      </c>
      <c r="K192" s="17" t="str">
        <f aca="false">IF($D192="","",J192*Configuración!$C$4)</f>
        <v/>
      </c>
      <c r="L192" s="17" t="str">
        <f aca="false">IF($D192="","",J192*Configuración!$C$5)</f>
        <v/>
      </c>
    </row>
    <row r="193" customFormat="false" ht="15" hidden="false" customHeight="false" outlineLevel="0" collapsed="false">
      <c r="A193" s="15"/>
      <c r="B193" s="14"/>
      <c r="C193" s="14"/>
      <c r="D193" s="16"/>
      <c r="E193" s="14"/>
      <c r="F193" s="17" t="str">
        <f aca="false">IF($D193="","",IF(Configuración!$B$10="Sí",$D193/(1+Configuración!$B$8),$D193))</f>
        <v/>
      </c>
      <c r="G193" s="17" t="str">
        <f aca="false">IF($D193="","",F193*Configuración!$B$8)</f>
        <v/>
      </c>
      <c r="H193" s="17" t="str">
        <f aca="false">IF($D193="","",F193+G193)</f>
        <v/>
      </c>
      <c r="I193" s="17" t="str">
        <f aca="false">IF($D193="","",F193*Configuración!$B$9)</f>
        <v/>
      </c>
      <c r="J193" s="17" t="str">
        <f aca="false">IF($D193="","",F193-I193)</f>
        <v/>
      </c>
      <c r="K193" s="17" t="str">
        <f aca="false">IF($D193="","",J193*Configuración!$C$4)</f>
        <v/>
      </c>
      <c r="L193" s="17" t="str">
        <f aca="false">IF($D193="","",J193*Configuración!$C$5)</f>
        <v/>
      </c>
    </row>
    <row r="194" customFormat="false" ht="15" hidden="false" customHeight="false" outlineLevel="0" collapsed="false">
      <c r="A194" s="15"/>
      <c r="B194" s="14"/>
      <c r="C194" s="14"/>
      <c r="D194" s="16"/>
      <c r="E194" s="14"/>
      <c r="F194" s="17" t="str">
        <f aca="false">IF($D194="","",IF(Configuración!$B$10="Sí",$D194/(1+Configuración!$B$8),$D194))</f>
        <v/>
      </c>
      <c r="G194" s="17" t="str">
        <f aca="false">IF($D194="","",F194*Configuración!$B$8)</f>
        <v/>
      </c>
      <c r="H194" s="17" t="str">
        <f aca="false">IF($D194="","",F194+G194)</f>
        <v/>
      </c>
      <c r="I194" s="17" t="str">
        <f aca="false">IF($D194="","",F194*Configuración!$B$9)</f>
        <v/>
      </c>
      <c r="J194" s="17" t="str">
        <f aca="false">IF($D194="","",F194-I194)</f>
        <v/>
      </c>
      <c r="K194" s="17" t="str">
        <f aca="false">IF($D194="","",J194*Configuración!$C$4)</f>
        <v/>
      </c>
      <c r="L194" s="17" t="str">
        <f aca="false">IF($D194="","",J194*Configuración!$C$5)</f>
        <v/>
      </c>
    </row>
    <row r="195" customFormat="false" ht="15" hidden="false" customHeight="false" outlineLevel="0" collapsed="false">
      <c r="A195" s="15"/>
      <c r="B195" s="14"/>
      <c r="C195" s="14"/>
      <c r="D195" s="16"/>
      <c r="E195" s="14"/>
      <c r="F195" s="17" t="str">
        <f aca="false">IF($D195="","",IF(Configuración!$B$10="Sí",$D195/(1+Configuración!$B$8),$D195))</f>
        <v/>
      </c>
      <c r="G195" s="17" t="str">
        <f aca="false">IF($D195="","",F195*Configuración!$B$8)</f>
        <v/>
      </c>
      <c r="H195" s="17" t="str">
        <f aca="false">IF($D195="","",F195+G195)</f>
        <v/>
      </c>
      <c r="I195" s="17" t="str">
        <f aca="false">IF($D195="","",F195*Configuración!$B$9)</f>
        <v/>
      </c>
      <c r="J195" s="17" t="str">
        <f aca="false">IF($D195="","",F195-I195)</f>
        <v/>
      </c>
      <c r="K195" s="17" t="str">
        <f aca="false">IF($D195="","",J195*Configuración!$C$4)</f>
        <v/>
      </c>
      <c r="L195" s="17" t="str">
        <f aca="false">IF($D195="","",J195*Configuración!$C$5)</f>
        <v/>
      </c>
    </row>
    <row r="196" customFormat="false" ht="15" hidden="false" customHeight="false" outlineLevel="0" collapsed="false">
      <c r="A196" s="15"/>
      <c r="B196" s="14"/>
      <c r="C196" s="14"/>
      <c r="D196" s="16"/>
      <c r="E196" s="14"/>
      <c r="F196" s="17" t="str">
        <f aca="false">IF($D196="","",IF(Configuración!$B$10="Sí",$D196/(1+Configuración!$B$8),$D196))</f>
        <v/>
      </c>
      <c r="G196" s="17" t="str">
        <f aca="false">IF($D196="","",F196*Configuración!$B$8)</f>
        <v/>
      </c>
      <c r="H196" s="17" t="str">
        <f aca="false">IF($D196="","",F196+G196)</f>
        <v/>
      </c>
      <c r="I196" s="17" t="str">
        <f aca="false">IF($D196="","",F196*Configuración!$B$9)</f>
        <v/>
      </c>
      <c r="J196" s="17" t="str">
        <f aca="false">IF($D196="","",F196-I196)</f>
        <v/>
      </c>
      <c r="K196" s="17" t="str">
        <f aca="false">IF($D196="","",J196*Configuración!$C$4)</f>
        <v/>
      </c>
      <c r="L196" s="17" t="str">
        <f aca="false">IF($D196="","",J196*Configuración!$C$5)</f>
        <v/>
      </c>
    </row>
    <row r="197" customFormat="false" ht="15" hidden="false" customHeight="false" outlineLevel="0" collapsed="false">
      <c r="A197" s="15"/>
      <c r="B197" s="14"/>
      <c r="C197" s="14"/>
      <c r="D197" s="16"/>
      <c r="E197" s="14"/>
      <c r="F197" s="17" t="str">
        <f aca="false">IF($D197="","",IF(Configuración!$B$10="Sí",$D197/(1+Configuración!$B$8),$D197))</f>
        <v/>
      </c>
      <c r="G197" s="17" t="str">
        <f aca="false">IF($D197="","",F197*Configuración!$B$8)</f>
        <v/>
      </c>
      <c r="H197" s="17" t="str">
        <f aca="false">IF($D197="","",F197+G197)</f>
        <v/>
      </c>
      <c r="I197" s="17" t="str">
        <f aca="false">IF($D197="","",F197*Configuración!$B$9)</f>
        <v/>
      </c>
      <c r="J197" s="17" t="str">
        <f aca="false">IF($D197="","",F197-I197)</f>
        <v/>
      </c>
      <c r="K197" s="17" t="str">
        <f aca="false">IF($D197="","",J197*Configuración!$C$4)</f>
        <v/>
      </c>
      <c r="L197" s="17" t="str">
        <f aca="false">IF($D197="","",J197*Configuración!$C$5)</f>
        <v/>
      </c>
    </row>
    <row r="198" customFormat="false" ht="15" hidden="false" customHeight="false" outlineLevel="0" collapsed="false">
      <c r="A198" s="15"/>
      <c r="B198" s="14"/>
      <c r="C198" s="14"/>
      <c r="D198" s="16"/>
      <c r="E198" s="14"/>
      <c r="F198" s="17" t="str">
        <f aca="false">IF($D198="","",IF(Configuración!$B$10="Sí",$D198/(1+Configuración!$B$8),$D198))</f>
        <v/>
      </c>
      <c r="G198" s="17" t="str">
        <f aca="false">IF($D198="","",F198*Configuración!$B$8)</f>
        <v/>
      </c>
      <c r="H198" s="17" t="str">
        <f aca="false">IF($D198="","",F198+G198)</f>
        <v/>
      </c>
      <c r="I198" s="17" t="str">
        <f aca="false">IF($D198="","",F198*Configuración!$B$9)</f>
        <v/>
      </c>
      <c r="J198" s="17" t="str">
        <f aca="false">IF($D198="","",F198-I198)</f>
        <v/>
      </c>
      <c r="K198" s="17" t="str">
        <f aca="false">IF($D198="","",J198*Configuración!$C$4)</f>
        <v/>
      </c>
      <c r="L198" s="17" t="str">
        <f aca="false">IF($D198="","",J198*Configuración!$C$5)</f>
        <v/>
      </c>
    </row>
    <row r="199" customFormat="false" ht="15" hidden="false" customHeight="false" outlineLevel="0" collapsed="false">
      <c r="A199" s="15"/>
      <c r="B199" s="14"/>
      <c r="C199" s="14"/>
      <c r="D199" s="16"/>
      <c r="E199" s="14"/>
      <c r="F199" s="17" t="str">
        <f aca="false">IF($D199="","",IF(Configuración!$B$10="Sí",$D199/(1+Configuración!$B$8),$D199))</f>
        <v/>
      </c>
      <c r="G199" s="17" t="str">
        <f aca="false">IF($D199="","",F199*Configuración!$B$8)</f>
        <v/>
      </c>
      <c r="H199" s="17" t="str">
        <f aca="false">IF($D199="","",F199+G199)</f>
        <v/>
      </c>
      <c r="I199" s="17" t="str">
        <f aca="false">IF($D199="","",F199*Configuración!$B$9)</f>
        <v/>
      </c>
      <c r="J199" s="17" t="str">
        <f aca="false">IF($D199="","",F199-I199)</f>
        <v/>
      </c>
      <c r="K199" s="17" t="str">
        <f aca="false">IF($D199="","",J199*Configuración!$C$4)</f>
        <v/>
      </c>
      <c r="L199" s="17" t="str">
        <f aca="false">IF($D199="","",J199*Configuración!$C$5)</f>
        <v/>
      </c>
    </row>
    <row r="200" customFormat="false" ht="15" hidden="false" customHeight="false" outlineLevel="0" collapsed="false">
      <c r="A200" s="15"/>
      <c r="B200" s="14"/>
      <c r="C200" s="14"/>
      <c r="D200" s="16"/>
      <c r="E200" s="14"/>
      <c r="F200" s="17" t="str">
        <f aca="false">IF($D200="","",IF(Configuración!$B$10="Sí",$D200/(1+Configuración!$B$8),$D200))</f>
        <v/>
      </c>
      <c r="G200" s="17" t="str">
        <f aca="false">IF($D200="","",F200*Configuración!$B$8)</f>
        <v/>
      </c>
      <c r="H200" s="17" t="str">
        <f aca="false">IF($D200="","",F200+G200)</f>
        <v/>
      </c>
      <c r="I200" s="17" t="str">
        <f aca="false">IF($D200="","",F200*Configuración!$B$9)</f>
        <v/>
      </c>
      <c r="J200" s="17" t="str">
        <f aca="false">IF($D200="","",F200-I200)</f>
        <v/>
      </c>
      <c r="K200" s="17" t="str">
        <f aca="false">IF($D200="","",J200*Configuración!$C$4)</f>
        <v/>
      </c>
      <c r="L200" s="17" t="str">
        <f aca="false">IF($D200="","",J200*Configuración!$C$5)</f>
        <v/>
      </c>
    </row>
    <row r="201" customFormat="false" ht="15" hidden="false" customHeight="false" outlineLevel="0" collapsed="false">
      <c r="A201" s="15"/>
      <c r="B201" s="14"/>
      <c r="C201" s="14"/>
      <c r="D201" s="16"/>
      <c r="E201" s="14"/>
      <c r="F201" s="17" t="str">
        <f aca="false">IF($D201="","",IF(Configuración!$B$10="Sí",$D201/(1+Configuración!$B$8),$D201))</f>
        <v/>
      </c>
      <c r="G201" s="17" t="str">
        <f aca="false">IF($D201="","",F201*Configuración!$B$8)</f>
        <v/>
      </c>
      <c r="H201" s="17" t="str">
        <f aca="false">IF($D201="","",F201+G201)</f>
        <v/>
      </c>
      <c r="I201" s="17" t="str">
        <f aca="false">IF($D201="","",F201*Configuración!$B$9)</f>
        <v/>
      </c>
      <c r="J201" s="17" t="str">
        <f aca="false">IF($D201="","",F201-I201)</f>
        <v/>
      </c>
      <c r="K201" s="17" t="str">
        <f aca="false">IF($D201="","",J201*Configuración!$C$4)</f>
        <v/>
      </c>
      <c r="L201" s="17" t="str">
        <f aca="false">IF($D201="","",J201*Configuración!$C$5)</f>
        <v/>
      </c>
    </row>
    <row r="202" customFormat="false" ht="15" hidden="false" customHeight="false" outlineLevel="0" collapsed="false">
      <c r="A202" s="15"/>
      <c r="B202" s="14"/>
      <c r="C202" s="14"/>
      <c r="D202" s="16"/>
      <c r="E202" s="14"/>
      <c r="F202" s="17" t="str">
        <f aca="false">IF($D202="","",IF(Configuración!$B$10="Sí",$D202/(1+Configuración!$B$8),$D202))</f>
        <v/>
      </c>
      <c r="G202" s="17" t="str">
        <f aca="false">IF($D202="","",F202*Configuración!$B$8)</f>
        <v/>
      </c>
      <c r="H202" s="17" t="str">
        <f aca="false">IF($D202="","",F202+G202)</f>
        <v/>
      </c>
      <c r="I202" s="17" t="str">
        <f aca="false">IF($D202="","",F202*Configuración!$B$9)</f>
        <v/>
      </c>
      <c r="J202" s="17" t="str">
        <f aca="false">IF($D202="","",F202-I202)</f>
        <v/>
      </c>
      <c r="K202" s="17" t="str">
        <f aca="false">IF($D202="","",J202*Configuración!$C$4)</f>
        <v/>
      </c>
      <c r="L202" s="17" t="str">
        <f aca="false">IF($D202="","",J202*Configuración!$C$5)</f>
        <v/>
      </c>
    </row>
    <row r="203" customFormat="false" ht="15" hidden="false" customHeight="false" outlineLevel="0" collapsed="false">
      <c r="A203" s="15"/>
      <c r="B203" s="14"/>
      <c r="C203" s="14"/>
      <c r="D203" s="16"/>
      <c r="E203" s="14"/>
      <c r="F203" s="17" t="str">
        <f aca="false">IF($D203="","",IF(Configuración!$B$10="Sí",$D203/(1+Configuración!$B$8),$D203))</f>
        <v/>
      </c>
      <c r="G203" s="17" t="str">
        <f aca="false">IF($D203="","",F203*Configuración!$B$8)</f>
        <v/>
      </c>
      <c r="H203" s="17" t="str">
        <f aca="false">IF($D203="","",F203+G203)</f>
        <v/>
      </c>
      <c r="I203" s="17" t="str">
        <f aca="false">IF($D203="","",F203*Configuración!$B$9)</f>
        <v/>
      </c>
      <c r="J203" s="17" t="str">
        <f aca="false">IF($D203="","",F203-I203)</f>
        <v/>
      </c>
      <c r="K203" s="17" t="str">
        <f aca="false">IF($D203="","",J203*Configuración!$C$4)</f>
        <v/>
      </c>
      <c r="L203" s="17" t="str">
        <f aca="false">IF($D203="","",J203*Configuración!$C$5)</f>
        <v/>
      </c>
    </row>
    <row r="204" customFormat="false" ht="15" hidden="false" customHeight="false" outlineLevel="0" collapsed="false">
      <c r="A204" s="15"/>
      <c r="B204" s="14"/>
      <c r="C204" s="14"/>
      <c r="D204" s="16"/>
      <c r="E204" s="14"/>
      <c r="F204" s="17" t="str">
        <f aca="false">IF($D204="","",IF(Configuración!$B$10="Sí",$D204/(1+Configuración!$B$8),$D204))</f>
        <v/>
      </c>
      <c r="G204" s="17" t="str">
        <f aca="false">IF($D204="","",F204*Configuración!$B$8)</f>
        <v/>
      </c>
      <c r="H204" s="17" t="str">
        <f aca="false">IF($D204="","",F204+G204)</f>
        <v/>
      </c>
      <c r="I204" s="17" t="str">
        <f aca="false">IF($D204="","",F204*Configuración!$B$9)</f>
        <v/>
      </c>
      <c r="J204" s="17" t="str">
        <f aca="false">IF($D204="","",F204-I204)</f>
        <v/>
      </c>
      <c r="K204" s="17" t="str">
        <f aca="false">IF($D204="","",J204*Configuración!$C$4)</f>
        <v/>
      </c>
      <c r="L204" s="17" t="str">
        <f aca="false">IF($D204="","",J204*Configuración!$C$5)</f>
        <v/>
      </c>
    </row>
    <row r="205" customFormat="false" ht="15" hidden="false" customHeight="false" outlineLevel="0" collapsed="false">
      <c r="A205" s="15"/>
      <c r="B205" s="14"/>
      <c r="C205" s="14"/>
      <c r="D205" s="16"/>
      <c r="E205" s="14"/>
      <c r="F205" s="17" t="str">
        <f aca="false">IF($D205="","",IF(Configuración!$B$10="Sí",$D205/(1+Configuración!$B$8),$D205))</f>
        <v/>
      </c>
      <c r="G205" s="17" t="str">
        <f aca="false">IF($D205="","",F205*Configuración!$B$8)</f>
        <v/>
      </c>
      <c r="H205" s="17" t="str">
        <f aca="false">IF($D205="","",F205+G205)</f>
        <v/>
      </c>
      <c r="I205" s="17" t="str">
        <f aca="false">IF($D205="","",F205*Configuración!$B$9)</f>
        <v/>
      </c>
      <c r="J205" s="17" t="str">
        <f aca="false">IF($D205="","",F205-I205)</f>
        <v/>
      </c>
      <c r="K205" s="17" t="str">
        <f aca="false">IF($D205="","",J205*Configuración!$C$4)</f>
        <v/>
      </c>
      <c r="L205" s="17" t="str">
        <f aca="false">IF($D205="","",J205*Configuración!$C$5)</f>
        <v/>
      </c>
    </row>
    <row r="206" customFormat="false" ht="15" hidden="false" customHeight="false" outlineLevel="0" collapsed="false">
      <c r="A206" s="15"/>
      <c r="B206" s="14"/>
      <c r="C206" s="14"/>
      <c r="D206" s="16"/>
      <c r="E206" s="14"/>
      <c r="F206" s="17" t="str">
        <f aca="false">IF($D206="","",IF(Configuración!$B$10="Sí",$D206/(1+Configuración!$B$8),$D206))</f>
        <v/>
      </c>
      <c r="G206" s="17" t="str">
        <f aca="false">IF($D206="","",F206*Configuración!$B$8)</f>
        <v/>
      </c>
      <c r="H206" s="17" t="str">
        <f aca="false">IF($D206="","",F206+G206)</f>
        <v/>
      </c>
      <c r="I206" s="17" t="str">
        <f aca="false">IF($D206="","",F206*Configuración!$B$9)</f>
        <v/>
      </c>
      <c r="J206" s="17" t="str">
        <f aca="false">IF($D206="","",F206-I206)</f>
        <v/>
      </c>
      <c r="K206" s="17" t="str">
        <f aca="false">IF($D206="","",J206*Configuración!$C$4)</f>
        <v/>
      </c>
      <c r="L206" s="17" t="str">
        <f aca="false">IF($D206="","",J206*Configuración!$C$5)</f>
        <v/>
      </c>
    </row>
    <row r="207" customFormat="false" ht="15" hidden="false" customHeight="false" outlineLevel="0" collapsed="false">
      <c r="A207" s="15"/>
      <c r="B207" s="14"/>
      <c r="C207" s="14"/>
      <c r="D207" s="16"/>
      <c r="E207" s="14"/>
      <c r="F207" s="17" t="str">
        <f aca="false">IF($D207="","",IF(Configuración!$B$10="Sí",$D207/(1+Configuración!$B$8),$D207))</f>
        <v/>
      </c>
      <c r="G207" s="17" t="str">
        <f aca="false">IF($D207="","",F207*Configuración!$B$8)</f>
        <v/>
      </c>
      <c r="H207" s="17" t="str">
        <f aca="false">IF($D207="","",F207+G207)</f>
        <v/>
      </c>
      <c r="I207" s="17" t="str">
        <f aca="false">IF($D207="","",F207*Configuración!$B$9)</f>
        <v/>
      </c>
      <c r="J207" s="17" t="str">
        <f aca="false">IF($D207="","",F207-I207)</f>
        <v/>
      </c>
      <c r="K207" s="17" t="str">
        <f aca="false">IF($D207="","",J207*Configuración!$C$4)</f>
        <v/>
      </c>
      <c r="L207" s="17" t="str">
        <f aca="false">IF($D207="","",J207*Configuración!$C$5)</f>
        <v/>
      </c>
    </row>
    <row r="208" customFormat="false" ht="15" hidden="false" customHeight="false" outlineLevel="0" collapsed="false">
      <c r="A208" s="15"/>
      <c r="B208" s="14"/>
      <c r="C208" s="14"/>
      <c r="D208" s="16"/>
      <c r="E208" s="14"/>
      <c r="F208" s="17" t="str">
        <f aca="false">IF($D208="","",IF(Configuración!$B$10="Sí",$D208/(1+Configuración!$B$8),$D208))</f>
        <v/>
      </c>
      <c r="G208" s="17" t="str">
        <f aca="false">IF($D208="","",F208*Configuración!$B$8)</f>
        <v/>
      </c>
      <c r="H208" s="17" t="str">
        <f aca="false">IF($D208="","",F208+G208)</f>
        <v/>
      </c>
      <c r="I208" s="17" t="str">
        <f aca="false">IF($D208="","",F208*Configuración!$B$9)</f>
        <v/>
      </c>
      <c r="J208" s="17" t="str">
        <f aca="false">IF($D208="","",F208-I208)</f>
        <v/>
      </c>
      <c r="K208" s="17" t="str">
        <f aca="false">IF($D208="","",J208*Configuración!$C$4)</f>
        <v/>
      </c>
      <c r="L208" s="17" t="str">
        <f aca="false">IF($D208="","",J208*Configuración!$C$5)</f>
        <v/>
      </c>
    </row>
    <row r="209" customFormat="false" ht="15" hidden="false" customHeight="false" outlineLevel="0" collapsed="false">
      <c r="A209" s="15"/>
      <c r="B209" s="14"/>
      <c r="C209" s="14"/>
      <c r="D209" s="16"/>
      <c r="E209" s="14"/>
      <c r="F209" s="17" t="str">
        <f aca="false">IF($D209="","",IF(Configuración!$B$10="Sí",$D209/(1+Configuración!$B$8),$D209))</f>
        <v/>
      </c>
      <c r="G209" s="17" t="str">
        <f aca="false">IF($D209="","",F209*Configuración!$B$8)</f>
        <v/>
      </c>
      <c r="H209" s="17" t="str">
        <f aca="false">IF($D209="","",F209+G209)</f>
        <v/>
      </c>
      <c r="I209" s="17" t="str">
        <f aca="false">IF($D209="","",F209*Configuración!$B$9)</f>
        <v/>
      </c>
      <c r="J209" s="17" t="str">
        <f aca="false">IF($D209="","",F209-I209)</f>
        <v/>
      </c>
      <c r="K209" s="17" t="str">
        <f aca="false">IF($D209="","",J209*Configuración!$C$4)</f>
        <v/>
      </c>
      <c r="L209" s="17" t="str">
        <f aca="false">IF($D209="","",J209*Configuración!$C$5)</f>
        <v/>
      </c>
    </row>
    <row r="210" customFormat="false" ht="15" hidden="false" customHeight="false" outlineLevel="0" collapsed="false">
      <c r="A210" s="15"/>
      <c r="B210" s="14"/>
      <c r="C210" s="14"/>
      <c r="D210" s="16"/>
      <c r="E210" s="14"/>
      <c r="F210" s="17" t="str">
        <f aca="false">IF($D210="","",IF(Configuración!$B$10="Sí",$D210/(1+Configuración!$B$8),$D210))</f>
        <v/>
      </c>
      <c r="G210" s="17" t="str">
        <f aca="false">IF($D210="","",F210*Configuración!$B$8)</f>
        <v/>
      </c>
      <c r="H210" s="17" t="str">
        <f aca="false">IF($D210="","",F210+G210)</f>
        <v/>
      </c>
      <c r="I210" s="17" t="str">
        <f aca="false">IF($D210="","",F210*Configuración!$B$9)</f>
        <v/>
      </c>
      <c r="J210" s="17" t="str">
        <f aca="false">IF($D210="","",F210-I210)</f>
        <v/>
      </c>
      <c r="K210" s="17" t="str">
        <f aca="false">IF($D210="","",J210*Configuración!$C$4)</f>
        <v/>
      </c>
      <c r="L210" s="17" t="str">
        <f aca="false">IF($D210="","",J210*Configuración!$C$5)</f>
        <v/>
      </c>
    </row>
    <row r="211" customFormat="false" ht="15" hidden="false" customHeight="false" outlineLevel="0" collapsed="false">
      <c r="A211" s="15"/>
      <c r="B211" s="14"/>
      <c r="C211" s="14"/>
      <c r="D211" s="16"/>
      <c r="E211" s="14"/>
      <c r="F211" s="17" t="str">
        <f aca="false">IF($D211="","",IF(Configuración!$B$10="Sí",$D211/(1+Configuración!$B$8),$D211))</f>
        <v/>
      </c>
      <c r="G211" s="17" t="str">
        <f aca="false">IF($D211="","",F211*Configuración!$B$8)</f>
        <v/>
      </c>
      <c r="H211" s="17" t="str">
        <f aca="false">IF($D211="","",F211+G211)</f>
        <v/>
      </c>
      <c r="I211" s="17" t="str">
        <f aca="false">IF($D211="","",F211*Configuración!$B$9)</f>
        <v/>
      </c>
      <c r="J211" s="17" t="str">
        <f aca="false">IF($D211="","",F211-I211)</f>
        <v/>
      </c>
      <c r="K211" s="17" t="str">
        <f aca="false">IF($D211="","",J211*Configuración!$C$4)</f>
        <v/>
      </c>
      <c r="L211" s="17" t="str">
        <f aca="false">IF($D211="","",J211*Configuración!$C$5)</f>
        <v/>
      </c>
    </row>
    <row r="212" customFormat="false" ht="15" hidden="false" customHeight="false" outlineLevel="0" collapsed="false">
      <c r="A212" s="15"/>
      <c r="B212" s="14"/>
      <c r="C212" s="14"/>
      <c r="D212" s="16"/>
      <c r="E212" s="14"/>
      <c r="F212" s="17" t="str">
        <f aca="false">IF($D212="","",IF(Configuración!$B$10="Sí",$D212/(1+Configuración!$B$8),$D212))</f>
        <v/>
      </c>
      <c r="G212" s="17" t="str">
        <f aca="false">IF($D212="","",F212*Configuración!$B$8)</f>
        <v/>
      </c>
      <c r="H212" s="17" t="str">
        <f aca="false">IF($D212="","",F212+G212)</f>
        <v/>
      </c>
      <c r="I212" s="17" t="str">
        <f aca="false">IF($D212="","",F212*Configuración!$B$9)</f>
        <v/>
      </c>
      <c r="J212" s="17" t="str">
        <f aca="false">IF($D212="","",F212-I212)</f>
        <v/>
      </c>
      <c r="K212" s="17" t="str">
        <f aca="false">IF($D212="","",J212*Configuración!$C$4)</f>
        <v/>
      </c>
      <c r="L212" s="17" t="str">
        <f aca="false">IF($D212="","",J212*Configuración!$C$5)</f>
        <v/>
      </c>
    </row>
    <row r="213" customFormat="false" ht="15" hidden="false" customHeight="false" outlineLevel="0" collapsed="false">
      <c r="A213" s="15"/>
      <c r="B213" s="14"/>
      <c r="C213" s="14"/>
      <c r="D213" s="16"/>
      <c r="E213" s="14"/>
      <c r="F213" s="17" t="str">
        <f aca="false">IF($D213="","",IF(Configuración!$B$10="Sí",$D213/(1+Configuración!$B$8),$D213))</f>
        <v/>
      </c>
      <c r="G213" s="17" t="str">
        <f aca="false">IF($D213="","",F213*Configuración!$B$8)</f>
        <v/>
      </c>
      <c r="H213" s="17" t="str">
        <f aca="false">IF($D213="","",F213+G213)</f>
        <v/>
      </c>
      <c r="I213" s="17" t="str">
        <f aca="false">IF($D213="","",F213*Configuración!$B$9)</f>
        <v/>
      </c>
      <c r="J213" s="17" t="str">
        <f aca="false">IF($D213="","",F213-I213)</f>
        <v/>
      </c>
      <c r="K213" s="17" t="str">
        <f aca="false">IF($D213="","",J213*Configuración!$C$4)</f>
        <v/>
      </c>
      <c r="L213" s="17" t="str">
        <f aca="false">IF($D213="","",J213*Configuración!$C$5)</f>
        <v/>
      </c>
    </row>
    <row r="214" customFormat="false" ht="15" hidden="false" customHeight="false" outlineLevel="0" collapsed="false">
      <c r="A214" s="15"/>
      <c r="B214" s="14"/>
      <c r="C214" s="14"/>
      <c r="D214" s="16"/>
      <c r="E214" s="14"/>
      <c r="F214" s="17" t="str">
        <f aca="false">IF($D214="","",IF(Configuración!$B$10="Sí",$D214/(1+Configuración!$B$8),$D214))</f>
        <v/>
      </c>
      <c r="G214" s="17" t="str">
        <f aca="false">IF($D214="","",F214*Configuración!$B$8)</f>
        <v/>
      </c>
      <c r="H214" s="17" t="str">
        <f aca="false">IF($D214="","",F214+G214)</f>
        <v/>
      </c>
      <c r="I214" s="17" t="str">
        <f aca="false">IF($D214="","",F214*Configuración!$B$9)</f>
        <v/>
      </c>
      <c r="J214" s="17" t="str">
        <f aca="false">IF($D214="","",F214-I214)</f>
        <v/>
      </c>
      <c r="K214" s="17" t="str">
        <f aca="false">IF($D214="","",J214*Configuración!$C$4)</f>
        <v/>
      </c>
      <c r="L214" s="17" t="str">
        <f aca="false">IF($D214="","",J214*Configuración!$C$5)</f>
        <v/>
      </c>
    </row>
    <row r="215" customFormat="false" ht="15" hidden="false" customHeight="false" outlineLevel="0" collapsed="false">
      <c r="A215" s="15"/>
      <c r="B215" s="14"/>
      <c r="C215" s="14"/>
      <c r="D215" s="16"/>
      <c r="E215" s="14"/>
      <c r="F215" s="17" t="str">
        <f aca="false">IF($D215="","",IF(Configuración!$B$10="Sí",$D215/(1+Configuración!$B$8),$D215))</f>
        <v/>
      </c>
      <c r="G215" s="17" t="str">
        <f aca="false">IF($D215="","",F215*Configuración!$B$8)</f>
        <v/>
      </c>
      <c r="H215" s="17" t="str">
        <f aca="false">IF($D215="","",F215+G215)</f>
        <v/>
      </c>
      <c r="I215" s="17" t="str">
        <f aca="false">IF($D215="","",F215*Configuración!$B$9)</f>
        <v/>
      </c>
      <c r="J215" s="17" t="str">
        <f aca="false">IF($D215="","",F215-I215)</f>
        <v/>
      </c>
      <c r="K215" s="17" t="str">
        <f aca="false">IF($D215="","",J215*Configuración!$C$4)</f>
        <v/>
      </c>
      <c r="L215" s="17" t="str">
        <f aca="false">IF($D215="","",J215*Configuración!$C$5)</f>
        <v/>
      </c>
    </row>
    <row r="216" customFormat="false" ht="15" hidden="false" customHeight="false" outlineLevel="0" collapsed="false">
      <c r="A216" s="15"/>
      <c r="B216" s="14"/>
      <c r="C216" s="14"/>
      <c r="D216" s="16"/>
      <c r="E216" s="14"/>
      <c r="F216" s="17" t="str">
        <f aca="false">IF($D216="","",IF(Configuración!$B$10="Sí",$D216/(1+Configuración!$B$8),$D216))</f>
        <v/>
      </c>
      <c r="G216" s="17" t="str">
        <f aca="false">IF($D216="","",F216*Configuración!$B$8)</f>
        <v/>
      </c>
      <c r="H216" s="17" t="str">
        <f aca="false">IF($D216="","",F216+G216)</f>
        <v/>
      </c>
      <c r="I216" s="17" t="str">
        <f aca="false">IF($D216="","",F216*Configuración!$B$9)</f>
        <v/>
      </c>
      <c r="J216" s="17" t="str">
        <f aca="false">IF($D216="","",F216-I216)</f>
        <v/>
      </c>
      <c r="K216" s="17" t="str">
        <f aca="false">IF($D216="","",J216*Configuración!$C$4)</f>
        <v/>
      </c>
      <c r="L216" s="17" t="str">
        <f aca="false">IF($D216="","",J216*Configuración!$C$5)</f>
        <v/>
      </c>
    </row>
    <row r="217" customFormat="false" ht="15" hidden="false" customHeight="false" outlineLevel="0" collapsed="false">
      <c r="A217" s="15"/>
      <c r="B217" s="14"/>
      <c r="C217" s="14"/>
      <c r="D217" s="16"/>
      <c r="E217" s="14"/>
      <c r="F217" s="17" t="str">
        <f aca="false">IF($D217="","",IF(Configuración!$B$10="Sí",$D217/(1+Configuración!$B$8),$D217))</f>
        <v/>
      </c>
      <c r="G217" s="17" t="str">
        <f aca="false">IF($D217="","",F217*Configuración!$B$8)</f>
        <v/>
      </c>
      <c r="H217" s="17" t="str">
        <f aca="false">IF($D217="","",F217+G217)</f>
        <v/>
      </c>
      <c r="I217" s="17" t="str">
        <f aca="false">IF($D217="","",F217*Configuración!$B$9)</f>
        <v/>
      </c>
      <c r="J217" s="17" t="str">
        <f aca="false">IF($D217="","",F217-I217)</f>
        <v/>
      </c>
      <c r="K217" s="17" t="str">
        <f aca="false">IF($D217="","",J217*Configuración!$C$4)</f>
        <v/>
      </c>
      <c r="L217" s="17" t="str">
        <f aca="false">IF($D217="","",J217*Configuración!$C$5)</f>
        <v/>
      </c>
    </row>
    <row r="218" customFormat="false" ht="15" hidden="false" customHeight="false" outlineLevel="0" collapsed="false">
      <c r="A218" s="15"/>
      <c r="B218" s="14"/>
      <c r="C218" s="14"/>
      <c r="D218" s="16"/>
      <c r="E218" s="14"/>
      <c r="F218" s="17" t="str">
        <f aca="false">IF($D218="","",IF(Configuración!$B$10="Sí",$D218/(1+Configuración!$B$8),$D218))</f>
        <v/>
      </c>
      <c r="G218" s="17" t="str">
        <f aca="false">IF($D218="","",F218*Configuración!$B$8)</f>
        <v/>
      </c>
      <c r="H218" s="17" t="str">
        <f aca="false">IF($D218="","",F218+G218)</f>
        <v/>
      </c>
      <c r="I218" s="17" t="str">
        <f aca="false">IF($D218="","",F218*Configuración!$B$9)</f>
        <v/>
      </c>
      <c r="J218" s="17" t="str">
        <f aca="false">IF($D218="","",F218-I218)</f>
        <v/>
      </c>
      <c r="K218" s="17" t="str">
        <f aca="false">IF($D218="","",J218*Configuración!$C$4)</f>
        <v/>
      </c>
      <c r="L218" s="17" t="str">
        <f aca="false">IF($D218="","",J218*Configuración!$C$5)</f>
        <v/>
      </c>
    </row>
    <row r="219" customFormat="false" ht="15" hidden="false" customHeight="false" outlineLevel="0" collapsed="false">
      <c r="A219" s="15"/>
      <c r="B219" s="14"/>
      <c r="C219" s="14"/>
      <c r="D219" s="16"/>
      <c r="E219" s="14"/>
      <c r="F219" s="17" t="str">
        <f aca="false">IF($D219="","",IF(Configuración!$B$10="Sí",$D219/(1+Configuración!$B$8),$D219))</f>
        <v/>
      </c>
      <c r="G219" s="17" t="str">
        <f aca="false">IF($D219="","",F219*Configuración!$B$8)</f>
        <v/>
      </c>
      <c r="H219" s="17" t="str">
        <f aca="false">IF($D219="","",F219+G219)</f>
        <v/>
      </c>
      <c r="I219" s="17" t="str">
        <f aca="false">IF($D219="","",F219*Configuración!$B$9)</f>
        <v/>
      </c>
      <c r="J219" s="17" t="str">
        <f aca="false">IF($D219="","",F219-I219)</f>
        <v/>
      </c>
      <c r="K219" s="17" t="str">
        <f aca="false">IF($D219="","",J219*Configuración!$C$4)</f>
        <v/>
      </c>
      <c r="L219" s="17" t="str">
        <f aca="false">IF($D219="","",J219*Configuración!$C$5)</f>
        <v/>
      </c>
    </row>
    <row r="220" customFormat="false" ht="15" hidden="false" customHeight="false" outlineLevel="0" collapsed="false">
      <c r="A220" s="15"/>
      <c r="B220" s="14"/>
      <c r="C220" s="14"/>
      <c r="D220" s="16"/>
      <c r="E220" s="14"/>
      <c r="F220" s="17" t="str">
        <f aca="false">IF($D220="","",IF(Configuración!$B$10="Sí",$D220/(1+Configuración!$B$8),$D220))</f>
        <v/>
      </c>
      <c r="G220" s="17" t="str">
        <f aca="false">IF($D220="","",F220*Configuración!$B$8)</f>
        <v/>
      </c>
      <c r="H220" s="17" t="str">
        <f aca="false">IF($D220="","",F220+G220)</f>
        <v/>
      </c>
      <c r="I220" s="17" t="str">
        <f aca="false">IF($D220="","",F220*Configuración!$B$9)</f>
        <v/>
      </c>
      <c r="J220" s="17" t="str">
        <f aca="false">IF($D220="","",F220-I220)</f>
        <v/>
      </c>
      <c r="K220" s="17" t="str">
        <f aca="false">IF($D220="","",J220*Configuración!$C$4)</f>
        <v/>
      </c>
      <c r="L220" s="17" t="str">
        <f aca="false">IF($D220="","",J220*Configuración!$C$5)</f>
        <v/>
      </c>
    </row>
    <row r="221" customFormat="false" ht="15" hidden="false" customHeight="false" outlineLevel="0" collapsed="false">
      <c r="A221" s="15"/>
      <c r="B221" s="14"/>
      <c r="C221" s="14"/>
      <c r="D221" s="16"/>
      <c r="E221" s="14"/>
      <c r="F221" s="17" t="str">
        <f aca="false">IF($D221="","",IF(Configuración!$B$10="Sí",$D221/(1+Configuración!$B$8),$D221))</f>
        <v/>
      </c>
      <c r="G221" s="17" t="str">
        <f aca="false">IF($D221="","",F221*Configuración!$B$8)</f>
        <v/>
      </c>
      <c r="H221" s="17" t="str">
        <f aca="false">IF($D221="","",F221+G221)</f>
        <v/>
      </c>
      <c r="I221" s="17" t="str">
        <f aca="false">IF($D221="","",F221*Configuración!$B$9)</f>
        <v/>
      </c>
      <c r="J221" s="17" t="str">
        <f aca="false">IF($D221="","",F221-I221)</f>
        <v/>
      </c>
      <c r="K221" s="17" t="str">
        <f aca="false">IF($D221="","",J221*Configuración!$C$4)</f>
        <v/>
      </c>
      <c r="L221" s="17" t="str">
        <f aca="false">IF($D221="","",J221*Configuración!$C$5)</f>
        <v/>
      </c>
    </row>
    <row r="222" customFormat="false" ht="15" hidden="false" customHeight="false" outlineLevel="0" collapsed="false">
      <c r="A222" s="15"/>
      <c r="B222" s="14"/>
      <c r="C222" s="14"/>
      <c r="D222" s="16"/>
      <c r="E222" s="14"/>
      <c r="F222" s="17" t="str">
        <f aca="false">IF($D222="","",IF(Configuración!$B$10="Sí",$D222/(1+Configuración!$B$8),$D222))</f>
        <v/>
      </c>
      <c r="G222" s="17" t="str">
        <f aca="false">IF($D222="","",F222*Configuración!$B$8)</f>
        <v/>
      </c>
      <c r="H222" s="17" t="str">
        <f aca="false">IF($D222="","",F222+G222)</f>
        <v/>
      </c>
      <c r="I222" s="17" t="str">
        <f aca="false">IF($D222="","",F222*Configuración!$B$9)</f>
        <v/>
      </c>
      <c r="J222" s="17" t="str">
        <f aca="false">IF($D222="","",F222-I222)</f>
        <v/>
      </c>
      <c r="K222" s="17" t="str">
        <f aca="false">IF($D222="","",J222*Configuración!$C$4)</f>
        <v/>
      </c>
      <c r="L222" s="17" t="str">
        <f aca="false">IF($D222="","",J222*Configuración!$C$5)</f>
        <v/>
      </c>
    </row>
    <row r="223" customFormat="false" ht="15" hidden="false" customHeight="false" outlineLevel="0" collapsed="false">
      <c r="A223" s="15"/>
      <c r="B223" s="14"/>
      <c r="C223" s="14"/>
      <c r="D223" s="16"/>
      <c r="E223" s="14"/>
      <c r="F223" s="17" t="str">
        <f aca="false">IF($D223="","",IF(Configuración!$B$10="Sí",$D223/(1+Configuración!$B$8),$D223))</f>
        <v/>
      </c>
      <c r="G223" s="17" t="str">
        <f aca="false">IF($D223="","",F223*Configuración!$B$8)</f>
        <v/>
      </c>
      <c r="H223" s="17" t="str">
        <f aca="false">IF($D223="","",F223+G223)</f>
        <v/>
      </c>
      <c r="I223" s="17" t="str">
        <f aca="false">IF($D223="","",F223*Configuración!$B$9)</f>
        <v/>
      </c>
      <c r="J223" s="17" t="str">
        <f aca="false">IF($D223="","",F223-I223)</f>
        <v/>
      </c>
      <c r="K223" s="17" t="str">
        <f aca="false">IF($D223="","",J223*Configuración!$C$4)</f>
        <v/>
      </c>
      <c r="L223" s="17" t="str">
        <f aca="false">IF($D223="","",J223*Configuración!$C$5)</f>
        <v/>
      </c>
    </row>
    <row r="224" customFormat="false" ht="15" hidden="false" customHeight="false" outlineLevel="0" collapsed="false">
      <c r="A224" s="15"/>
      <c r="B224" s="14"/>
      <c r="C224" s="14"/>
      <c r="D224" s="16"/>
      <c r="E224" s="14"/>
      <c r="F224" s="17" t="str">
        <f aca="false">IF($D224="","",IF(Configuración!$B$10="Sí",$D224/(1+Configuración!$B$8),$D224))</f>
        <v/>
      </c>
      <c r="G224" s="17" t="str">
        <f aca="false">IF($D224="","",F224*Configuración!$B$8)</f>
        <v/>
      </c>
      <c r="H224" s="17" t="str">
        <f aca="false">IF($D224="","",F224+G224)</f>
        <v/>
      </c>
      <c r="I224" s="17" t="str">
        <f aca="false">IF($D224="","",F224*Configuración!$B$9)</f>
        <v/>
      </c>
      <c r="J224" s="17" t="str">
        <f aca="false">IF($D224="","",F224-I224)</f>
        <v/>
      </c>
      <c r="K224" s="17" t="str">
        <f aca="false">IF($D224="","",J224*Configuración!$C$4)</f>
        <v/>
      </c>
      <c r="L224" s="17" t="str">
        <f aca="false">IF($D224="","",J224*Configuración!$C$5)</f>
        <v/>
      </c>
    </row>
    <row r="225" customFormat="false" ht="15" hidden="false" customHeight="false" outlineLevel="0" collapsed="false">
      <c r="A225" s="15"/>
      <c r="B225" s="14"/>
      <c r="C225" s="14"/>
      <c r="D225" s="16"/>
      <c r="E225" s="14"/>
      <c r="F225" s="17" t="str">
        <f aca="false">IF($D225="","",IF(Configuración!$B$10="Sí",$D225/(1+Configuración!$B$8),$D225))</f>
        <v/>
      </c>
      <c r="G225" s="17" t="str">
        <f aca="false">IF($D225="","",F225*Configuración!$B$8)</f>
        <v/>
      </c>
      <c r="H225" s="17" t="str">
        <f aca="false">IF($D225="","",F225+G225)</f>
        <v/>
      </c>
      <c r="I225" s="17" t="str">
        <f aca="false">IF($D225="","",F225*Configuración!$B$9)</f>
        <v/>
      </c>
      <c r="J225" s="17" t="str">
        <f aca="false">IF($D225="","",F225-I225)</f>
        <v/>
      </c>
      <c r="K225" s="17" t="str">
        <f aca="false">IF($D225="","",J225*Configuración!$C$4)</f>
        <v/>
      </c>
      <c r="L225" s="17" t="str">
        <f aca="false">IF($D225="","",J225*Configuración!$C$5)</f>
        <v/>
      </c>
    </row>
    <row r="226" customFormat="false" ht="15" hidden="false" customHeight="false" outlineLevel="0" collapsed="false">
      <c r="A226" s="15"/>
      <c r="B226" s="14"/>
      <c r="C226" s="14"/>
      <c r="D226" s="16"/>
      <c r="E226" s="14"/>
      <c r="F226" s="17" t="str">
        <f aca="false">IF($D226="","",IF(Configuración!$B$10="Sí",$D226/(1+Configuración!$B$8),$D226))</f>
        <v/>
      </c>
      <c r="G226" s="17" t="str">
        <f aca="false">IF($D226="","",F226*Configuración!$B$8)</f>
        <v/>
      </c>
      <c r="H226" s="17" t="str">
        <f aca="false">IF($D226="","",F226+G226)</f>
        <v/>
      </c>
      <c r="I226" s="17" t="str">
        <f aca="false">IF($D226="","",F226*Configuración!$B$9)</f>
        <v/>
      </c>
      <c r="J226" s="17" t="str">
        <f aca="false">IF($D226="","",F226-I226)</f>
        <v/>
      </c>
      <c r="K226" s="17" t="str">
        <f aca="false">IF($D226="","",J226*Configuración!$C$4)</f>
        <v/>
      </c>
      <c r="L226" s="17" t="str">
        <f aca="false">IF($D226="","",J226*Configuración!$C$5)</f>
        <v/>
      </c>
    </row>
    <row r="227" customFormat="false" ht="15" hidden="false" customHeight="false" outlineLevel="0" collapsed="false">
      <c r="A227" s="15"/>
      <c r="B227" s="14"/>
      <c r="C227" s="14"/>
      <c r="D227" s="16"/>
      <c r="E227" s="14"/>
      <c r="F227" s="17" t="str">
        <f aca="false">IF($D227="","",IF(Configuración!$B$10="Sí",$D227/(1+Configuración!$B$8),$D227))</f>
        <v/>
      </c>
      <c r="G227" s="17" t="str">
        <f aca="false">IF($D227="","",F227*Configuración!$B$8)</f>
        <v/>
      </c>
      <c r="H227" s="17" t="str">
        <f aca="false">IF($D227="","",F227+G227)</f>
        <v/>
      </c>
      <c r="I227" s="17" t="str">
        <f aca="false">IF($D227="","",F227*Configuración!$B$9)</f>
        <v/>
      </c>
      <c r="J227" s="17" t="str">
        <f aca="false">IF($D227="","",F227-I227)</f>
        <v/>
      </c>
      <c r="K227" s="17" t="str">
        <f aca="false">IF($D227="","",J227*Configuración!$C$4)</f>
        <v/>
      </c>
      <c r="L227" s="17" t="str">
        <f aca="false">IF($D227="","",J227*Configuración!$C$5)</f>
        <v/>
      </c>
    </row>
    <row r="228" customFormat="false" ht="15" hidden="false" customHeight="false" outlineLevel="0" collapsed="false">
      <c r="A228" s="15"/>
      <c r="B228" s="14"/>
      <c r="C228" s="14"/>
      <c r="D228" s="16"/>
      <c r="E228" s="14"/>
      <c r="F228" s="17" t="str">
        <f aca="false">IF($D228="","",IF(Configuración!$B$10="Sí",$D228/(1+Configuración!$B$8),$D228))</f>
        <v/>
      </c>
      <c r="G228" s="17" t="str">
        <f aca="false">IF($D228="","",F228*Configuración!$B$8)</f>
        <v/>
      </c>
      <c r="H228" s="17" t="str">
        <f aca="false">IF($D228="","",F228+G228)</f>
        <v/>
      </c>
      <c r="I228" s="17" t="str">
        <f aca="false">IF($D228="","",F228*Configuración!$B$9)</f>
        <v/>
      </c>
      <c r="J228" s="17" t="str">
        <f aca="false">IF($D228="","",F228-I228)</f>
        <v/>
      </c>
      <c r="K228" s="17" t="str">
        <f aca="false">IF($D228="","",J228*Configuración!$C$4)</f>
        <v/>
      </c>
      <c r="L228" s="17" t="str">
        <f aca="false">IF($D228="","",J228*Configuración!$C$5)</f>
        <v/>
      </c>
    </row>
    <row r="229" customFormat="false" ht="15" hidden="false" customHeight="false" outlineLevel="0" collapsed="false">
      <c r="A229" s="15"/>
      <c r="B229" s="14"/>
      <c r="C229" s="14"/>
      <c r="D229" s="16"/>
      <c r="E229" s="14"/>
      <c r="F229" s="17" t="str">
        <f aca="false">IF($D229="","",IF(Configuración!$B$10="Sí",$D229/(1+Configuración!$B$8),$D229))</f>
        <v/>
      </c>
      <c r="G229" s="17" t="str">
        <f aca="false">IF($D229="","",F229*Configuración!$B$8)</f>
        <v/>
      </c>
      <c r="H229" s="17" t="str">
        <f aca="false">IF($D229="","",F229+G229)</f>
        <v/>
      </c>
      <c r="I229" s="17" t="str">
        <f aca="false">IF($D229="","",F229*Configuración!$B$9)</f>
        <v/>
      </c>
      <c r="J229" s="17" t="str">
        <f aca="false">IF($D229="","",F229-I229)</f>
        <v/>
      </c>
      <c r="K229" s="17" t="str">
        <f aca="false">IF($D229="","",J229*Configuración!$C$4)</f>
        <v/>
      </c>
      <c r="L229" s="17" t="str">
        <f aca="false">IF($D229="","",J229*Configuración!$C$5)</f>
        <v/>
      </c>
    </row>
    <row r="230" customFormat="false" ht="15" hidden="false" customHeight="false" outlineLevel="0" collapsed="false">
      <c r="A230" s="15"/>
      <c r="B230" s="14"/>
      <c r="C230" s="14"/>
      <c r="D230" s="16"/>
      <c r="E230" s="14"/>
      <c r="F230" s="17" t="str">
        <f aca="false">IF($D230="","",IF(Configuración!$B$10="Sí",$D230/(1+Configuración!$B$8),$D230))</f>
        <v/>
      </c>
      <c r="G230" s="17" t="str">
        <f aca="false">IF($D230="","",F230*Configuración!$B$8)</f>
        <v/>
      </c>
      <c r="H230" s="17" t="str">
        <f aca="false">IF($D230="","",F230+G230)</f>
        <v/>
      </c>
      <c r="I230" s="17" t="str">
        <f aca="false">IF($D230="","",F230*Configuración!$B$9)</f>
        <v/>
      </c>
      <c r="J230" s="17" t="str">
        <f aca="false">IF($D230="","",F230-I230)</f>
        <v/>
      </c>
      <c r="K230" s="17" t="str">
        <f aca="false">IF($D230="","",J230*Configuración!$C$4)</f>
        <v/>
      </c>
      <c r="L230" s="17" t="str">
        <f aca="false">IF($D230="","",J230*Configuración!$C$5)</f>
        <v/>
      </c>
    </row>
    <row r="231" customFormat="false" ht="15" hidden="false" customHeight="false" outlineLevel="0" collapsed="false">
      <c r="A231" s="15"/>
      <c r="B231" s="14"/>
      <c r="C231" s="14"/>
      <c r="D231" s="16"/>
      <c r="E231" s="14"/>
      <c r="F231" s="17" t="str">
        <f aca="false">IF($D231="","",IF(Configuración!$B$10="Sí",$D231/(1+Configuración!$B$8),$D231))</f>
        <v/>
      </c>
      <c r="G231" s="17" t="str">
        <f aca="false">IF($D231="","",F231*Configuración!$B$8)</f>
        <v/>
      </c>
      <c r="H231" s="17" t="str">
        <f aca="false">IF($D231="","",F231+G231)</f>
        <v/>
      </c>
      <c r="I231" s="17" t="str">
        <f aca="false">IF($D231="","",F231*Configuración!$B$9)</f>
        <v/>
      </c>
      <c r="J231" s="17" t="str">
        <f aca="false">IF($D231="","",F231-I231)</f>
        <v/>
      </c>
      <c r="K231" s="17" t="str">
        <f aca="false">IF($D231="","",J231*Configuración!$C$4)</f>
        <v/>
      </c>
      <c r="L231" s="17" t="str">
        <f aca="false">IF($D231="","",J231*Configuración!$C$5)</f>
        <v/>
      </c>
    </row>
    <row r="232" customFormat="false" ht="15" hidden="false" customHeight="false" outlineLevel="0" collapsed="false">
      <c r="A232" s="15"/>
      <c r="B232" s="14"/>
      <c r="C232" s="14"/>
      <c r="D232" s="16"/>
      <c r="E232" s="14"/>
      <c r="F232" s="17" t="str">
        <f aca="false">IF($D232="","",IF(Configuración!$B$10="Sí",$D232/(1+Configuración!$B$8),$D232))</f>
        <v/>
      </c>
      <c r="G232" s="17" t="str">
        <f aca="false">IF($D232="","",F232*Configuración!$B$8)</f>
        <v/>
      </c>
      <c r="H232" s="17" t="str">
        <f aca="false">IF($D232="","",F232+G232)</f>
        <v/>
      </c>
      <c r="I232" s="17" t="str">
        <f aca="false">IF($D232="","",F232*Configuración!$B$9)</f>
        <v/>
      </c>
      <c r="J232" s="17" t="str">
        <f aca="false">IF($D232="","",F232-I232)</f>
        <v/>
      </c>
      <c r="K232" s="17" t="str">
        <f aca="false">IF($D232="","",J232*Configuración!$C$4)</f>
        <v/>
      </c>
      <c r="L232" s="17" t="str">
        <f aca="false">IF($D232="","",J232*Configuración!$C$5)</f>
        <v/>
      </c>
    </row>
    <row r="233" customFormat="false" ht="15" hidden="false" customHeight="false" outlineLevel="0" collapsed="false">
      <c r="A233" s="15"/>
      <c r="B233" s="14"/>
      <c r="C233" s="14"/>
      <c r="D233" s="16"/>
      <c r="E233" s="14"/>
      <c r="F233" s="17" t="str">
        <f aca="false">IF($D233="","",IF(Configuración!$B$10="Sí",$D233/(1+Configuración!$B$8),$D233))</f>
        <v/>
      </c>
      <c r="G233" s="17" t="str">
        <f aca="false">IF($D233="","",F233*Configuración!$B$8)</f>
        <v/>
      </c>
      <c r="H233" s="17" t="str">
        <f aca="false">IF($D233="","",F233+G233)</f>
        <v/>
      </c>
      <c r="I233" s="17" t="str">
        <f aca="false">IF($D233="","",F233*Configuración!$B$9)</f>
        <v/>
      </c>
      <c r="J233" s="17" t="str">
        <f aca="false">IF($D233="","",F233-I233)</f>
        <v/>
      </c>
      <c r="K233" s="17" t="str">
        <f aca="false">IF($D233="","",J233*Configuración!$C$4)</f>
        <v/>
      </c>
      <c r="L233" s="17" t="str">
        <f aca="false">IF($D233="","",J233*Configuración!$C$5)</f>
        <v/>
      </c>
    </row>
    <row r="234" customFormat="false" ht="15" hidden="false" customHeight="false" outlineLevel="0" collapsed="false">
      <c r="A234" s="15"/>
      <c r="B234" s="14"/>
      <c r="C234" s="14"/>
      <c r="D234" s="16"/>
      <c r="E234" s="14"/>
      <c r="F234" s="17" t="str">
        <f aca="false">IF($D234="","",IF(Configuración!$B$10="Sí",$D234/(1+Configuración!$B$8),$D234))</f>
        <v/>
      </c>
      <c r="G234" s="17" t="str">
        <f aca="false">IF($D234="","",F234*Configuración!$B$8)</f>
        <v/>
      </c>
      <c r="H234" s="17" t="str">
        <f aca="false">IF($D234="","",F234+G234)</f>
        <v/>
      </c>
      <c r="I234" s="17" t="str">
        <f aca="false">IF($D234="","",F234*Configuración!$B$9)</f>
        <v/>
      </c>
      <c r="J234" s="17" t="str">
        <f aca="false">IF($D234="","",F234-I234)</f>
        <v/>
      </c>
      <c r="K234" s="17" t="str">
        <f aca="false">IF($D234="","",J234*Configuración!$C$4)</f>
        <v/>
      </c>
      <c r="L234" s="17" t="str">
        <f aca="false">IF($D234="","",J234*Configuración!$C$5)</f>
        <v/>
      </c>
    </row>
    <row r="235" customFormat="false" ht="15" hidden="false" customHeight="false" outlineLevel="0" collapsed="false">
      <c r="A235" s="15"/>
      <c r="B235" s="14"/>
      <c r="C235" s="14"/>
      <c r="D235" s="16"/>
      <c r="E235" s="14"/>
      <c r="F235" s="17" t="str">
        <f aca="false">IF($D235="","",IF(Configuración!$B$10="Sí",$D235/(1+Configuración!$B$8),$D235))</f>
        <v/>
      </c>
      <c r="G235" s="17" t="str">
        <f aca="false">IF($D235="","",F235*Configuración!$B$8)</f>
        <v/>
      </c>
      <c r="H235" s="17" t="str">
        <f aca="false">IF($D235="","",F235+G235)</f>
        <v/>
      </c>
      <c r="I235" s="17" t="str">
        <f aca="false">IF($D235="","",F235*Configuración!$B$9)</f>
        <v/>
      </c>
      <c r="J235" s="17" t="str">
        <f aca="false">IF($D235="","",F235-I235)</f>
        <v/>
      </c>
      <c r="K235" s="17" t="str">
        <f aca="false">IF($D235="","",J235*Configuración!$C$4)</f>
        <v/>
      </c>
      <c r="L235" s="17" t="str">
        <f aca="false">IF($D235="","",J235*Configuración!$C$5)</f>
        <v/>
      </c>
    </row>
    <row r="236" customFormat="false" ht="15" hidden="false" customHeight="false" outlineLevel="0" collapsed="false">
      <c r="A236" s="15"/>
      <c r="B236" s="14"/>
      <c r="C236" s="14"/>
      <c r="D236" s="16"/>
      <c r="E236" s="14"/>
      <c r="F236" s="17" t="str">
        <f aca="false">IF($D236="","",IF(Configuración!$B$10="Sí",$D236/(1+Configuración!$B$8),$D236))</f>
        <v/>
      </c>
      <c r="G236" s="17" t="str">
        <f aca="false">IF($D236="","",F236*Configuración!$B$8)</f>
        <v/>
      </c>
      <c r="H236" s="17" t="str">
        <f aca="false">IF($D236="","",F236+G236)</f>
        <v/>
      </c>
      <c r="I236" s="17" t="str">
        <f aca="false">IF($D236="","",F236*Configuración!$B$9)</f>
        <v/>
      </c>
      <c r="J236" s="17" t="str">
        <f aca="false">IF($D236="","",F236-I236)</f>
        <v/>
      </c>
      <c r="K236" s="17" t="str">
        <f aca="false">IF($D236="","",J236*Configuración!$C$4)</f>
        <v/>
      </c>
      <c r="L236" s="17" t="str">
        <f aca="false">IF($D236="","",J236*Configuración!$C$5)</f>
        <v/>
      </c>
    </row>
    <row r="237" customFormat="false" ht="15" hidden="false" customHeight="false" outlineLevel="0" collapsed="false">
      <c r="A237" s="15"/>
      <c r="B237" s="14"/>
      <c r="C237" s="14"/>
      <c r="D237" s="16"/>
      <c r="E237" s="14"/>
      <c r="F237" s="17" t="str">
        <f aca="false">IF($D237="","",IF(Configuración!$B$10="Sí",$D237/(1+Configuración!$B$8),$D237))</f>
        <v/>
      </c>
      <c r="G237" s="17" t="str">
        <f aca="false">IF($D237="","",F237*Configuración!$B$8)</f>
        <v/>
      </c>
      <c r="H237" s="17" t="str">
        <f aca="false">IF($D237="","",F237+G237)</f>
        <v/>
      </c>
      <c r="I237" s="17" t="str">
        <f aca="false">IF($D237="","",F237*Configuración!$B$9)</f>
        <v/>
      </c>
      <c r="J237" s="17" t="str">
        <f aca="false">IF($D237="","",F237-I237)</f>
        <v/>
      </c>
      <c r="K237" s="17" t="str">
        <f aca="false">IF($D237="","",J237*Configuración!$C$4)</f>
        <v/>
      </c>
      <c r="L237" s="17" t="str">
        <f aca="false">IF($D237="","",J237*Configuración!$C$5)</f>
        <v/>
      </c>
    </row>
    <row r="238" customFormat="false" ht="15" hidden="false" customHeight="false" outlineLevel="0" collapsed="false">
      <c r="A238" s="15"/>
      <c r="B238" s="14"/>
      <c r="C238" s="14"/>
      <c r="D238" s="16"/>
      <c r="E238" s="14"/>
      <c r="F238" s="17" t="str">
        <f aca="false">IF($D238="","",IF(Configuración!$B$10="Sí",$D238/(1+Configuración!$B$8),$D238))</f>
        <v/>
      </c>
      <c r="G238" s="17" t="str">
        <f aca="false">IF($D238="","",F238*Configuración!$B$8)</f>
        <v/>
      </c>
      <c r="H238" s="17" t="str">
        <f aca="false">IF($D238="","",F238+G238)</f>
        <v/>
      </c>
      <c r="I238" s="17" t="str">
        <f aca="false">IF($D238="","",F238*Configuración!$B$9)</f>
        <v/>
      </c>
      <c r="J238" s="17" t="str">
        <f aca="false">IF($D238="","",F238-I238)</f>
        <v/>
      </c>
      <c r="K238" s="17" t="str">
        <f aca="false">IF($D238="","",J238*Configuración!$C$4)</f>
        <v/>
      </c>
      <c r="L238" s="17" t="str">
        <f aca="false">IF($D238="","",J238*Configuración!$C$5)</f>
        <v/>
      </c>
    </row>
    <row r="239" customFormat="false" ht="15" hidden="false" customHeight="false" outlineLevel="0" collapsed="false">
      <c r="A239" s="15"/>
      <c r="B239" s="14"/>
      <c r="C239" s="14"/>
      <c r="D239" s="16"/>
      <c r="E239" s="14"/>
      <c r="F239" s="17" t="str">
        <f aca="false">IF($D239="","",IF(Configuración!$B$10="Sí",$D239/(1+Configuración!$B$8),$D239))</f>
        <v/>
      </c>
      <c r="G239" s="17" t="str">
        <f aca="false">IF($D239="","",F239*Configuración!$B$8)</f>
        <v/>
      </c>
      <c r="H239" s="17" t="str">
        <f aca="false">IF($D239="","",F239+G239)</f>
        <v/>
      </c>
      <c r="I239" s="17" t="str">
        <f aca="false">IF($D239="","",F239*Configuración!$B$9)</f>
        <v/>
      </c>
      <c r="J239" s="17" t="str">
        <f aca="false">IF($D239="","",F239-I239)</f>
        <v/>
      </c>
      <c r="K239" s="17" t="str">
        <f aca="false">IF($D239="","",J239*Configuración!$C$4)</f>
        <v/>
      </c>
      <c r="L239" s="17" t="str">
        <f aca="false">IF($D239="","",J239*Configuración!$C$5)</f>
        <v/>
      </c>
    </row>
    <row r="240" customFormat="false" ht="15" hidden="false" customHeight="false" outlineLevel="0" collapsed="false">
      <c r="A240" s="15"/>
      <c r="B240" s="14"/>
      <c r="C240" s="14"/>
      <c r="D240" s="16"/>
      <c r="E240" s="14"/>
      <c r="F240" s="17" t="str">
        <f aca="false">IF($D240="","",IF(Configuración!$B$10="Sí",$D240/(1+Configuración!$B$8),$D240))</f>
        <v/>
      </c>
      <c r="G240" s="17" t="str">
        <f aca="false">IF($D240="","",F240*Configuración!$B$8)</f>
        <v/>
      </c>
      <c r="H240" s="17" t="str">
        <f aca="false">IF($D240="","",F240+G240)</f>
        <v/>
      </c>
      <c r="I240" s="17" t="str">
        <f aca="false">IF($D240="","",F240*Configuración!$B$9)</f>
        <v/>
      </c>
      <c r="J240" s="17" t="str">
        <f aca="false">IF($D240="","",F240-I240)</f>
        <v/>
      </c>
      <c r="K240" s="17" t="str">
        <f aca="false">IF($D240="","",J240*Configuración!$C$4)</f>
        <v/>
      </c>
      <c r="L240" s="17" t="str">
        <f aca="false">IF($D240="","",J240*Configuración!$C$5)</f>
        <v/>
      </c>
    </row>
    <row r="241" customFormat="false" ht="15" hidden="false" customHeight="false" outlineLevel="0" collapsed="false">
      <c r="A241" s="15"/>
      <c r="B241" s="14"/>
      <c r="C241" s="14"/>
      <c r="D241" s="16"/>
      <c r="E241" s="14"/>
      <c r="F241" s="17" t="str">
        <f aca="false">IF($D241="","",IF(Configuración!$B$10="Sí",$D241/(1+Configuración!$B$8),$D241))</f>
        <v/>
      </c>
      <c r="G241" s="17" t="str">
        <f aca="false">IF($D241="","",F241*Configuración!$B$8)</f>
        <v/>
      </c>
      <c r="H241" s="17" t="str">
        <f aca="false">IF($D241="","",F241+G241)</f>
        <v/>
      </c>
      <c r="I241" s="17" t="str">
        <f aca="false">IF($D241="","",F241*Configuración!$B$9)</f>
        <v/>
      </c>
      <c r="J241" s="17" t="str">
        <f aca="false">IF($D241="","",F241-I241)</f>
        <v/>
      </c>
      <c r="K241" s="17" t="str">
        <f aca="false">IF($D241="","",J241*Configuración!$C$4)</f>
        <v/>
      </c>
      <c r="L241" s="17" t="str">
        <f aca="false">IF($D241="","",J241*Configuración!$C$5)</f>
        <v/>
      </c>
    </row>
    <row r="242" customFormat="false" ht="15" hidden="false" customHeight="false" outlineLevel="0" collapsed="false">
      <c r="A242" s="15"/>
      <c r="B242" s="14"/>
      <c r="C242" s="14"/>
      <c r="D242" s="16"/>
      <c r="E242" s="14"/>
      <c r="F242" s="17" t="str">
        <f aca="false">IF($D242="","",IF(Configuración!$B$10="Sí",$D242/(1+Configuración!$B$8),$D242))</f>
        <v/>
      </c>
      <c r="G242" s="17" t="str">
        <f aca="false">IF($D242="","",F242*Configuración!$B$8)</f>
        <v/>
      </c>
      <c r="H242" s="17" t="str">
        <f aca="false">IF($D242="","",F242+G242)</f>
        <v/>
      </c>
      <c r="I242" s="17" t="str">
        <f aca="false">IF($D242="","",F242*Configuración!$B$9)</f>
        <v/>
      </c>
      <c r="J242" s="17" t="str">
        <f aca="false">IF($D242="","",F242-I242)</f>
        <v/>
      </c>
      <c r="K242" s="17" t="str">
        <f aca="false">IF($D242="","",J242*Configuración!$C$4)</f>
        <v/>
      </c>
      <c r="L242" s="17" t="str">
        <f aca="false">IF($D242="","",J242*Configuración!$C$5)</f>
        <v/>
      </c>
    </row>
    <row r="243" customFormat="false" ht="15" hidden="false" customHeight="false" outlineLevel="0" collapsed="false">
      <c r="A243" s="15"/>
      <c r="B243" s="14"/>
      <c r="C243" s="14"/>
      <c r="D243" s="16"/>
      <c r="E243" s="14"/>
      <c r="F243" s="17" t="str">
        <f aca="false">IF($D243="","",IF(Configuración!$B$10="Sí",$D243/(1+Configuración!$B$8),$D243))</f>
        <v/>
      </c>
      <c r="G243" s="17" t="str">
        <f aca="false">IF($D243="","",F243*Configuración!$B$8)</f>
        <v/>
      </c>
      <c r="H243" s="17" t="str">
        <f aca="false">IF($D243="","",F243+G243)</f>
        <v/>
      </c>
      <c r="I243" s="17" t="str">
        <f aca="false">IF($D243="","",F243*Configuración!$B$9)</f>
        <v/>
      </c>
      <c r="J243" s="17" t="str">
        <f aca="false">IF($D243="","",F243-I243)</f>
        <v/>
      </c>
      <c r="K243" s="17" t="str">
        <f aca="false">IF($D243="","",J243*Configuración!$C$4)</f>
        <v/>
      </c>
      <c r="L243" s="17" t="str">
        <f aca="false">IF($D243="","",J243*Configuración!$C$5)</f>
        <v/>
      </c>
    </row>
    <row r="244" customFormat="false" ht="15" hidden="false" customHeight="false" outlineLevel="0" collapsed="false">
      <c r="A244" s="15"/>
      <c r="B244" s="14"/>
      <c r="C244" s="14"/>
      <c r="D244" s="16"/>
      <c r="E244" s="14"/>
      <c r="F244" s="17" t="str">
        <f aca="false">IF($D244="","",IF(Configuración!$B$10="Sí",$D244/(1+Configuración!$B$8),$D244))</f>
        <v/>
      </c>
      <c r="G244" s="17" t="str">
        <f aca="false">IF($D244="","",F244*Configuración!$B$8)</f>
        <v/>
      </c>
      <c r="H244" s="17" t="str">
        <f aca="false">IF($D244="","",F244+G244)</f>
        <v/>
      </c>
      <c r="I244" s="17" t="str">
        <f aca="false">IF($D244="","",F244*Configuración!$B$9)</f>
        <v/>
      </c>
      <c r="J244" s="17" t="str">
        <f aca="false">IF($D244="","",F244-I244)</f>
        <v/>
      </c>
      <c r="K244" s="17" t="str">
        <f aca="false">IF($D244="","",J244*Configuración!$C$4)</f>
        <v/>
      </c>
      <c r="L244" s="17" t="str">
        <f aca="false">IF($D244="","",J244*Configuración!$C$5)</f>
        <v/>
      </c>
    </row>
    <row r="245" customFormat="false" ht="15" hidden="false" customHeight="false" outlineLevel="0" collapsed="false">
      <c r="A245" s="15"/>
      <c r="B245" s="14"/>
      <c r="C245" s="14"/>
      <c r="D245" s="16"/>
      <c r="E245" s="14"/>
      <c r="F245" s="17" t="str">
        <f aca="false">IF($D245="","",IF(Configuración!$B$10="Sí",$D245/(1+Configuración!$B$8),$D245))</f>
        <v/>
      </c>
      <c r="G245" s="17" t="str">
        <f aca="false">IF($D245="","",F245*Configuración!$B$8)</f>
        <v/>
      </c>
      <c r="H245" s="17" t="str">
        <f aca="false">IF($D245="","",F245+G245)</f>
        <v/>
      </c>
      <c r="I245" s="17" t="str">
        <f aca="false">IF($D245="","",F245*Configuración!$B$9)</f>
        <v/>
      </c>
      <c r="J245" s="17" t="str">
        <f aca="false">IF($D245="","",F245-I245)</f>
        <v/>
      </c>
      <c r="K245" s="17" t="str">
        <f aca="false">IF($D245="","",J245*Configuración!$C$4)</f>
        <v/>
      </c>
      <c r="L245" s="17" t="str">
        <f aca="false">IF($D245="","",J245*Configuración!$C$5)</f>
        <v/>
      </c>
    </row>
    <row r="246" customFormat="false" ht="15" hidden="false" customHeight="false" outlineLevel="0" collapsed="false">
      <c r="A246" s="15"/>
      <c r="B246" s="14"/>
      <c r="C246" s="14"/>
      <c r="D246" s="16"/>
      <c r="E246" s="14"/>
      <c r="F246" s="17" t="str">
        <f aca="false">IF($D246="","",IF(Configuración!$B$10="Sí",$D246/(1+Configuración!$B$8),$D246))</f>
        <v/>
      </c>
      <c r="G246" s="17" t="str">
        <f aca="false">IF($D246="","",F246*Configuración!$B$8)</f>
        <v/>
      </c>
      <c r="H246" s="17" t="str">
        <f aca="false">IF($D246="","",F246+G246)</f>
        <v/>
      </c>
      <c r="I246" s="17" t="str">
        <f aca="false">IF($D246="","",F246*Configuración!$B$9)</f>
        <v/>
      </c>
      <c r="J246" s="17" t="str">
        <f aca="false">IF($D246="","",F246-I246)</f>
        <v/>
      </c>
      <c r="K246" s="17" t="str">
        <f aca="false">IF($D246="","",J246*Configuración!$C$4)</f>
        <v/>
      </c>
      <c r="L246" s="17" t="str">
        <f aca="false">IF($D246="","",J246*Configuración!$C$5)</f>
        <v/>
      </c>
    </row>
    <row r="247" customFormat="false" ht="15" hidden="false" customHeight="false" outlineLevel="0" collapsed="false">
      <c r="A247" s="15"/>
      <c r="B247" s="14"/>
      <c r="C247" s="14"/>
      <c r="D247" s="16"/>
      <c r="E247" s="14"/>
      <c r="F247" s="17" t="str">
        <f aca="false">IF($D247="","",IF(Configuración!$B$10="Sí",$D247/(1+Configuración!$B$8),$D247))</f>
        <v/>
      </c>
      <c r="G247" s="17" t="str">
        <f aca="false">IF($D247="","",F247*Configuración!$B$8)</f>
        <v/>
      </c>
      <c r="H247" s="17" t="str">
        <f aca="false">IF($D247="","",F247+G247)</f>
        <v/>
      </c>
      <c r="I247" s="17" t="str">
        <f aca="false">IF($D247="","",F247*Configuración!$B$9)</f>
        <v/>
      </c>
      <c r="J247" s="17" t="str">
        <f aca="false">IF($D247="","",F247-I247)</f>
        <v/>
      </c>
      <c r="K247" s="17" t="str">
        <f aca="false">IF($D247="","",J247*Configuración!$C$4)</f>
        <v/>
      </c>
      <c r="L247" s="17" t="str">
        <f aca="false">IF($D247="","",J247*Configuración!$C$5)</f>
        <v/>
      </c>
    </row>
    <row r="248" customFormat="false" ht="15" hidden="false" customHeight="false" outlineLevel="0" collapsed="false">
      <c r="A248" s="15"/>
      <c r="B248" s="14"/>
      <c r="C248" s="14"/>
      <c r="D248" s="16"/>
      <c r="E248" s="14"/>
      <c r="F248" s="17" t="str">
        <f aca="false">IF($D248="","",IF(Configuración!$B$10="Sí",$D248/(1+Configuración!$B$8),$D248))</f>
        <v/>
      </c>
      <c r="G248" s="17" t="str">
        <f aca="false">IF($D248="","",F248*Configuración!$B$8)</f>
        <v/>
      </c>
      <c r="H248" s="17" t="str">
        <f aca="false">IF($D248="","",F248+G248)</f>
        <v/>
      </c>
      <c r="I248" s="17" t="str">
        <f aca="false">IF($D248="","",F248*Configuración!$B$9)</f>
        <v/>
      </c>
      <c r="J248" s="17" t="str">
        <f aca="false">IF($D248="","",F248-I248)</f>
        <v/>
      </c>
      <c r="K248" s="17" t="str">
        <f aca="false">IF($D248="","",J248*Configuración!$C$4)</f>
        <v/>
      </c>
      <c r="L248" s="17" t="str">
        <f aca="false">IF($D248="","",J248*Configuración!$C$5)</f>
        <v/>
      </c>
    </row>
    <row r="249" customFormat="false" ht="15" hidden="false" customHeight="false" outlineLevel="0" collapsed="false">
      <c r="A249" s="15"/>
      <c r="B249" s="14"/>
      <c r="C249" s="14"/>
      <c r="D249" s="16"/>
      <c r="E249" s="14"/>
      <c r="F249" s="17" t="str">
        <f aca="false">IF($D249="","",IF(Configuración!$B$10="Sí",$D249/(1+Configuración!$B$8),$D249))</f>
        <v/>
      </c>
      <c r="G249" s="17" t="str">
        <f aca="false">IF($D249="","",F249*Configuración!$B$8)</f>
        <v/>
      </c>
      <c r="H249" s="17" t="str">
        <f aca="false">IF($D249="","",F249+G249)</f>
        <v/>
      </c>
      <c r="I249" s="17" t="str">
        <f aca="false">IF($D249="","",F249*Configuración!$B$9)</f>
        <v/>
      </c>
      <c r="J249" s="17" t="str">
        <f aca="false">IF($D249="","",F249-I249)</f>
        <v/>
      </c>
      <c r="K249" s="17" t="str">
        <f aca="false">IF($D249="","",J249*Configuración!$C$4)</f>
        <v/>
      </c>
      <c r="L249" s="17" t="str">
        <f aca="false">IF($D249="","",J249*Configuración!$C$5)</f>
        <v/>
      </c>
    </row>
    <row r="250" customFormat="false" ht="15" hidden="false" customHeight="false" outlineLevel="0" collapsed="false">
      <c r="A250" s="15"/>
      <c r="B250" s="14"/>
      <c r="C250" s="14"/>
      <c r="D250" s="16"/>
      <c r="E250" s="14"/>
      <c r="F250" s="17" t="str">
        <f aca="false">IF($D250="","",IF(Configuración!$B$10="Sí",$D250/(1+Configuración!$B$8),$D250))</f>
        <v/>
      </c>
      <c r="G250" s="17" t="str">
        <f aca="false">IF($D250="","",F250*Configuración!$B$8)</f>
        <v/>
      </c>
      <c r="H250" s="17" t="str">
        <f aca="false">IF($D250="","",F250+G250)</f>
        <v/>
      </c>
      <c r="I250" s="17" t="str">
        <f aca="false">IF($D250="","",F250*Configuración!$B$9)</f>
        <v/>
      </c>
      <c r="J250" s="17" t="str">
        <f aca="false">IF($D250="","",F250-I250)</f>
        <v/>
      </c>
      <c r="K250" s="17" t="str">
        <f aca="false">IF($D250="","",J250*Configuración!$C$4)</f>
        <v/>
      </c>
      <c r="L250" s="17" t="str">
        <f aca="false">IF($D250="","",J250*Configuración!$C$5)</f>
        <v/>
      </c>
    </row>
    <row r="251" customFormat="false" ht="15" hidden="false" customHeight="false" outlineLevel="0" collapsed="false">
      <c r="A251" s="15"/>
      <c r="B251" s="14"/>
      <c r="C251" s="14"/>
      <c r="D251" s="16"/>
      <c r="E251" s="14"/>
      <c r="F251" s="17" t="str">
        <f aca="false">IF($D251="","",IF(Configuración!$B$10="Sí",$D251/(1+Configuración!$B$8),$D251))</f>
        <v/>
      </c>
      <c r="G251" s="17" t="str">
        <f aca="false">IF($D251="","",F251*Configuración!$B$8)</f>
        <v/>
      </c>
      <c r="H251" s="17" t="str">
        <f aca="false">IF($D251="","",F251+G251)</f>
        <v/>
      </c>
      <c r="I251" s="17" t="str">
        <f aca="false">IF($D251="","",F251*Configuración!$B$9)</f>
        <v/>
      </c>
      <c r="J251" s="17" t="str">
        <f aca="false">IF($D251="","",F251-I251)</f>
        <v/>
      </c>
      <c r="K251" s="17" t="str">
        <f aca="false">IF($D251="","",J251*Configuración!$C$4)</f>
        <v/>
      </c>
      <c r="L251" s="17" t="str">
        <f aca="false">IF($D251="","",J251*Configuración!$C$5)</f>
        <v/>
      </c>
    </row>
    <row r="252" customFormat="false" ht="15" hidden="false" customHeight="false" outlineLevel="0" collapsed="false">
      <c r="A252" s="15"/>
      <c r="B252" s="14"/>
      <c r="C252" s="14"/>
      <c r="D252" s="16"/>
      <c r="E252" s="14"/>
      <c r="F252" s="17" t="str">
        <f aca="false">IF($D252="","",IF(Configuración!$B$10="Sí",$D252/(1+Configuración!$B$8),$D252))</f>
        <v/>
      </c>
      <c r="G252" s="17" t="str">
        <f aca="false">IF($D252="","",F252*Configuración!$B$8)</f>
        <v/>
      </c>
      <c r="H252" s="17" t="str">
        <f aca="false">IF($D252="","",F252+G252)</f>
        <v/>
      </c>
      <c r="I252" s="17" t="str">
        <f aca="false">IF($D252="","",F252*Configuración!$B$9)</f>
        <v/>
      </c>
      <c r="J252" s="17" t="str">
        <f aca="false">IF($D252="","",F252-I252)</f>
        <v/>
      </c>
      <c r="K252" s="17" t="str">
        <f aca="false">IF($D252="","",J252*Configuración!$C$4)</f>
        <v/>
      </c>
      <c r="L252" s="17" t="str">
        <f aca="false">IF($D252="","",J252*Configuración!$C$5)</f>
        <v/>
      </c>
    </row>
    <row r="253" customFormat="false" ht="15" hidden="false" customHeight="false" outlineLevel="0" collapsed="false">
      <c r="A253" s="15"/>
      <c r="B253" s="14"/>
      <c r="C253" s="14"/>
      <c r="D253" s="16"/>
      <c r="E253" s="14"/>
      <c r="F253" s="17" t="str">
        <f aca="false">IF($D253="","",IF(Configuración!$B$10="Sí",$D253/(1+Configuración!$B$8),$D253))</f>
        <v/>
      </c>
      <c r="G253" s="17" t="str">
        <f aca="false">IF($D253="","",F253*Configuración!$B$8)</f>
        <v/>
      </c>
      <c r="H253" s="17" t="str">
        <f aca="false">IF($D253="","",F253+G253)</f>
        <v/>
      </c>
      <c r="I253" s="17" t="str">
        <f aca="false">IF($D253="","",F253*Configuración!$B$9)</f>
        <v/>
      </c>
      <c r="J253" s="17" t="str">
        <f aca="false">IF($D253="","",F253-I253)</f>
        <v/>
      </c>
      <c r="K253" s="17" t="str">
        <f aca="false">IF($D253="","",J253*Configuración!$C$4)</f>
        <v/>
      </c>
      <c r="L253" s="17" t="str">
        <f aca="false">IF($D253="","",J253*Configuración!$C$5)</f>
        <v/>
      </c>
    </row>
    <row r="254" customFormat="false" ht="15" hidden="false" customHeight="false" outlineLevel="0" collapsed="false">
      <c r="A254" s="15"/>
      <c r="B254" s="14"/>
      <c r="C254" s="14"/>
      <c r="D254" s="16"/>
      <c r="E254" s="14"/>
      <c r="F254" s="17" t="str">
        <f aca="false">IF($D254="","",IF(Configuración!$B$10="Sí",$D254/(1+Configuración!$B$8),$D254))</f>
        <v/>
      </c>
      <c r="G254" s="17" t="str">
        <f aca="false">IF($D254="","",F254*Configuración!$B$8)</f>
        <v/>
      </c>
      <c r="H254" s="17" t="str">
        <f aca="false">IF($D254="","",F254+G254)</f>
        <v/>
      </c>
      <c r="I254" s="17" t="str">
        <f aca="false">IF($D254="","",F254*Configuración!$B$9)</f>
        <v/>
      </c>
      <c r="J254" s="17" t="str">
        <f aca="false">IF($D254="","",F254-I254)</f>
        <v/>
      </c>
      <c r="K254" s="17" t="str">
        <f aca="false">IF($D254="","",J254*Configuración!$C$4)</f>
        <v/>
      </c>
      <c r="L254" s="17" t="str">
        <f aca="false">IF($D254="","",J254*Configuración!$C$5)</f>
        <v/>
      </c>
    </row>
    <row r="255" customFormat="false" ht="15" hidden="false" customHeight="false" outlineLevel="0" collapsed="false">
      <c r="A255" s="15"/>
      <c r="B255" s="14"/>
      <c r="C255" s="14"/>
      <c r="D255" s="16"/>
      <c r="E255" s="14"/>
      <c r="F255" s="17" t="str">
        <f aca="false">IF($D255="","",IF(Configuración!$B$10="Sí",$D255/(1+Configuración!$B$8),$D255))</f>
        <v/>
      </c>
      <c r="G255" s="17" t="str">
        <f aca="false">IF($D255="","",F255*Configuración!$B$8)</f>
        <v/>
      </c>
      <c r="H255" s="17" t="str">
        <f aca="false">IF($D255="","",F255+G255)</f>
        <v/>
      </c>
      <c r="I255" s="17" t="str">
        <f aca="false">IF($D255="","",F255*Configuración!$B$9)</f>
        <v/>
      </c>
      <c r="J255" s="17" t="str">
        <f aca="false">IF($D255="","",F255-I255)</f>
        <v/>
      </c>
      <c r="K255" s="17" t="str">
        <f aca="false">IF($D255="","",J255*Configuración!$C$4)</f>
        <v/>
      </c>
      <c r="L255" s="17" t="str">
        <f aca="false">IF($D255="","",J255*Configuración!$C$5)</f>
        <v/>
      </c>
    </row>
    <row r="256" customFormat="false" ht="15" hidden="false" customHeight="false" outlineLevel="0" collapsed="false">
      <c r="A256" s="15"/>
      <c r="B256" s="14"/>
      <c r="C256" s="14"/>
      <c r="D256" s="16"/>
      <c r="E256" s="14"/>
      <c r="F256" s="17" t="str">
        <f aca="false">IF($D256="","",IF(Configuración!$B$10="Sí",$D256/(1+Configuración!$B$8),$D256))</f>
        <v/>
      </c>
      <c r="G256" s="17" t="str">
        <f aca="false">IF($D256="","",F256*Configuración!$B$8)</f>
        <v/>
      </c>
      <c r="H256" s="17" t="str">
        <f aca="false">IF($D256="","",F256+G256)</f>
        <v/>
      </c>
      <c r="I256" s="17" t="str">
        <f aca="false">IF($D256="","",F256*Configuración!$B$9)</f>
        <v/>
      </c>
      <c r="J256" s="17" t="str">
        <f aca="false">IF($D256="","",F256-I256)</f>
        <v/>
      </c>
      <c r="K256" s="17" t="str">
        <f aca="false">IF($D256="","",J256*Configuración!$C$4)</f>
        <v/>
      </c>
      <c r="L256" s="17" t="str">
        <f aca="false">IF($D256="","",J256*Configuración!$C$5)</f>
        <v/>
      </c>
    </row>
    <row r="257" customFormat="false" ht="15" hidden="false" customHeight="false" outlineLevel="0" collapsed="false">
      <c r="A257" s="15"/>
      <c r="B257" s="14"/>
      <c r="C257" s="14"/>
      <c r="D257" s="16"/>
      <c r="E257" s="14"/>
      <c r="F257" s="17" t="str">
        <f aca="false">IF($D257="","",IF(Configuración!$B$10="Sí",$D257/(1+Configuración!$B$8),$D257))</f>
        <v/>
      </c>
      <c r="G257" s="17" t="str">
        <f aca="false">IF($D257="","",F257*Configuración!$B$8)</f>
        <v/>
      </c>
      <c r="H257" s="17" t="str">
        <f aca="false">IF($D257="","",F257+G257)</f>
        <v/>
      </c>
      <c r="I257" s="17" t="str">
        <f aca="false">IF($D257="","",F257*Configuración!$B$9)</f>
        <v/>
      </c>
      <c r="J257" s="17" t="str">
        <f aca="false">IF($D257="","",F257-I257)</f>
        <v/>
      </c>
      <c r="K257" s="17" t="str">
        <f aca="false">IF($D257="","",J257*Configuración!$C$4)</f>
        <v/>
      </c>
      <c r="L257" s="17" t="str">
        <f aca="false">IF($D257="","",J257*Configuración!$C$5)</f>
        <v/>
      </c>
    </row>
    <row r="258" customFormat="false" ht="15" hidden="false" customHeight="false" outlineLevel="0" collapsed="false">
      <c r="A258" s="15"/>
      <c r="B258" s="14"/>
      <c r="C258" s="14"/>
      <c r="D258" s="16"/>
      <c r="E258" s="14"/>
      <c r="F258" s="17" t="str">
        <f aca="false">IF($D258="","",IF(Configuración!$B$10="Sí",$D258/(1+Configuración!$B$8),$D258))</f>
        <v/>
      </c>
      <c r="G258" s="17" t="str">
        <f aca="false">IF($D258="","",F258*Configuración!$B$8)</f>
        <v/>
      </c>
      <c r="H258" s="17" t="str">
        <f aca="false">IF($D258="","",F258+G258)</f>
        <v/>
      </c>
      <c r="I258" s="17" t="str">
        <f aca="false">IF($D258="","",F258*Configuración!$B$9)</f>
        <v/>
      </c>
      <c r="J258" s="17" t="str">
        <f aca="false">IF($D258="","",F258-I258)</f>
        <v/>
      </c>
      <c r="K258" s="17" t="str">
        <f aca="false">IF($D258="","",J258*Configuración!$C$4)</f>
        <v/>
      </c>
      <c r="L258" s="17" t="str">
        <f aca="false">IF($D258="","",J258*Configuración!$C$5)</f>
        <v/>
      </c>
    </row>
    <row r="259" customFormat="false" ht="15" hidden="false" customHeight="false" outlineLevel="0" collapsed="false">
      <c r="A259" s="15"/>
      <c r="B259" s="14"/>
      <c r="C259" s="14"/>
      <c r="D259" s="16"/>
      <c r="E259" s="14"/>
      <c r="F259" s="17" t="str">
        <f aca="false">IF($D259="","",IF(Configuración!$B$10="Sí",$D259/(1+Configuración!$B$8),$D259))</f>
        <v/>
      </c>
      <c r="G259" s="17" t="str">
        <f aca="false">IF($D259="","",F259*Configuración!$B$8)</f>
        <v/>
      </c>
      <c r="H259" s="17" t="str">
        <f aca="false">IF($D259="","",F259+G259)</f>
        <v/>
      </c>
      <c r="I259" s="17" t="str">
        <f aca="false">IF($D259="","",F259*Configuración!$B$9)</f>
        <v/>
      </c>
      <c r="J259" s="17" t="str">
        <f aca="false">IF($D259="","",F259-I259)</f>
        <v/>
      </c>
      <c r="K259" s="17" t="str">
        <f aca="false">IF($D259="","",J259*Configuración!$C$4)</f>
        <v/>
      </c>
      <c r="L259" s="17" t="str">
        <f aca="false">IF($D259="","",J259*Configuración!$C$5)</f>
        <v/>
      </c>
    </row>
    <row r="260" customFormat="false" ht="15" hidden="false" customHeight="false" outlineLevel="0" collapsed="false">
      <c r="A260" s="15"/>
      <c r="B260" s="14"/>
      <c r="C260" s="14"/>
      <c r="D260" s="16"/>
      <c r="E260" s="14"/>
      <c r="F260" s="17" t="str">
        <f aca="false">IF($D260="","",IF(Configuración!$B$10="Sí",$D260/(1+Configuración!$B$8),$D260))</f>
        <v/>
      </c>
      <c r="G260" s="17" t="str">
        <f aca="false">IF($D260="","",F260*Configuración!$B$8)</f>
        <v/>
      </c>
      <c r="H260" s="17" t="str">
        <f aca="false">IF($D260="","",F260+G260)</f>
        <v/>
      </c>
      <c r="I260" s="17" t="str">
        <f aca="false">IF($D260="","",F260*Configuración!$B$9)</f>
        <v/>
      </c>
      <c r="J260" s="17" t="str">
        <f aca="false">IF($D260="","",F260-I260)</f>
        <v/>
      </c>
      <c r="K260" s="17" t="str">
        <f aca="false">IF($D260="","",J260*Configuración!$C$4)</f>
        <v/>
      </c>
      <c r="L260" s="17" t="str">
        <f aca="false">IF($D260="","",J260*Configuración!$C$5)</f>
        <v/>
      </c>
    </row>
    <row r="261" customFormat="false" ht="15" hidden="false" customHeight="false" outlineLevel="0" collapsed="false">
      <c r="A261" s="15"/>
      <c r="B261" s="14"/>
      <c r="C261" s="14"/>
      <c r="D261" s="16"/>
      <c r="E261" s="14"/>
      <c r="F261" s="17" t="str">
        <f aca="false">IF($D261="","",IF(Configuración!$B$10="Sí",$D261/(1+Configuración!$B$8),$D261))</f>
        <v/>
      </c>
      <c r="G261" s="17" t="str">
        <f aca="false">IF($D261="","",F261*Configuración!$B$8)</f>
        <v/>
      </c>
      <c r="H261" s="17" t="str">
        <f aca="false">IF($D261="","",F261+G261)</f>
        <v/>
      </c>
      <c r="I261" s="17" t="str">
        <f aca="false">IF($D261="","",F261*Configuración!$B$9)</f>
        <v/>
      </c>
      <c r="J261" s="17" t="str">
        <f aca="false">IF($D261="","",F261-I261)</f>
        <v/>
      </c>
      <c r="K261" s="17" t="str">
        <f aca="false">IF($D261="","",J261*Configuración!$C$4)</f>
        <v/>
      </c>
      <c r="L261" s="17" t="str">
        <f aca="false">IF($D261="","",J261*Configuración!$C$5)</f>
        <v/>
      </c>
    </row>
    <row r="262" customFormat="false" ht="15" hidden="false" customHeight="false" outlineLevel="0" collapsed="false">
      <c r="A262" s="15"/>
      <c r="B262" s="14"/>
      <c r="C262" s="14"/>
      <c r="D262" s="16"/>
      <c r="E262" s="14"/>
      <c r="F262" s="17" t="str">
        <f aca="false">IF($D262="","",IF(Configuración!$B$10="Sí",$D262/(1+Configuración!$B$8),$D262))</f>
        <v/>
      </c>
      <c r="G262" s="17" t="str">
        <f aca="false">IF($D262="","",F262*Configuración!$B$8)</f>
        <v/>
      </c>
      <c r="H262" s="17" t="str">
        <f aca="false">IF($D262="","",F262+G262)</f>
        <v/>
      </c>
      <c r="I262" s="17" t="str">
        <f aca="false">IF($D262="","",F262*Configuración!$B$9)</f>
        <v/>
      </c>
      <c r="J262" s="17" t="str">
        <f aca="false">IF($D262="","",F262-I262)</f>
        <v/>
      </c>
      <c r="K262" s="17" t="str">
        <f aca="false">IF($D262="","",J262*Configuración!$C$4)</f>
        <v/>
      </c>
      <c r="L262" s="17" t="str">
        <f aca="false">IF($D262="","",J262*Configuración!$C$5)</f>
        <v/>
      </c>
    </row>
    <row r="263" customFormat="false" ht="15" hidden="false" customHeight="false" outlineLevel="0" collapsed="false">
      <c r="A263" s="15"/>
      <c r="B263" s="14"/>
      <c r="C263" s="14"/>
      <c r="D263" s="16"/>
      <c r="E263" s="14"/>
      <c r="F263" s="17" t="str">
        <f aca="false">IF($D263="","",IF(Configuración!$B$10="Sí",$D263/(1+Configuración!$B$8),$D263))</f>
        <v/>
      </c>
      <c r="G263" s="17" t="str">
        <f aca="false">IF($D263="","",F263*Configuración!$B$8)</f>
        <v/>
      </c>
      <c r="H263" s="17" t="str">
        <f aca="false">IF($D263="","",F263+G263)</f>
        <v/>
      </c>
      <c r="I263" s="17" t="str">
        <f aca="false">IF($D263="","",F263*Configuración!$B$9)</f>
        <v/>
      </c>
      <c r="J263" s="17" t="str">
        <f aca="false">IF($D263="","",F263-I263)</f>
        <v/>
      </c>
      <c r="K263" s="17" t="str">
        <f aca="false">IF($D263="","",J263*Configuración!$C$4)</f>
        <v/>
      </c>
      <c r="L263" s="17" t="str">
        <f aca="false">IF($D263="","",J263*Configuración!$C$5)</f>
        <v/>
      </c>
    </row>
    <row r="264" customFormat="false" ht="15" hidden="false" customHeight="false" outlineLevel="0" collapsed="false">
      <c r="A264" s="15"/>
      <c r="B264" s="14"/>
      <c r="C264" s="14"/>
      <c r="D264" s="16"/>
      <c r="E264" s="14"/>
      <c r="F264" s="17" t="str">
        <f aca="false">IF($D264="","",IF(Configuración!$B$10="Sí",$D264/(1+Configuración!$B$8),$D264))</f>
        <v/>
      </c>
      <c r="G264" s="17" t="str">
        <f aca="false">IF($D264="","",F264*Configuración!$B$8)</f>
        <v/>
      </c>
      <c r="H264" s="17" t="str">
        <f aca="false">IF($D264="","",F264+G264)</f>
        <v/>
      </c>
      <c r="I264" s="17" t="str">
        <f aca="false">IF($D264="","",F264*Configuración!$B$9)</f>
        <v/>
      </c>
      <c r="J264" s="17" t="str">
        <f aca="false">IF($D264="","",F264-I264)</f>
        <v/>
      </c>
      <c r="K264" s="17" t="str">
        <f aca="false">IF($D264="","",J264*Configuración!$C$4)</f>
        <v/>
      </c>
      <c r="L264" s="17" t="str">
        <f aca="false">IF($D264="","",J264*Configuración!$C$5)</f>
        <v/>
      </c>
    </row>
    <row r="265" customFormat="false" ht="15" hidden="false" customHeight="false" outlineLevel="0" collapsed="false">
      <c r="A265" s="15"/>
      <c r="B265" s="14"/>
      <c r="C265" s="14"/>
      <c r="D265" s="16"/>
      <c r="E265" s="14"/>
      <c r="F265" s="17" t="str">
        <f aca="false">IF($D265="","",IF(Configuración!$B$10="Sí",$D265/(1+Configuración!$B$8),$D265))</f>
        <v/>
      </c>
      <c r="G265" s="17" t="str">
        <f aca="false">IF($D265="","",F265*Configuración!$B$8)</f>
        <v/>
      </c>
      <c r="H265" s="17" t="str">
        <f aca="false">IF($D265="","",F265+G265)</f>
        <v/>
      </c>
      <c r="I265" s="17" t="str">
        <f aca="false">IF($D265="","",F265*Configuración!$B$9)</f>
        <v/>
      </c>
      <c r="J265" s="17" t="str">
        <f aca="false">IF($D265="","",F265-I265)</f>
        <v/>
      </c>
      <c r="K265" s="17" t="str">
        <f aca="false">IF($D265="","",J265*Configuración!$C$4)</f>
        <v/>
      </c>
      <c r="L265" s="17" t="str">
        <f aca="false">IF($D265="","",J265*Configuración!$C$5)</f>
        <v/>
      </c>
    </row>
    <row r="266" customFormat="false" ht="15" hidden="false" customHeight="false" outlineLevel="0" collapsed="false">
      <c r="A266" s="15"/>
      <c r="B266" s="14"/>
      <c r="C266" s="14"/>
      <c r="D266" s="16"/>
      <c r="E266" s="14"/>
      <c r="F266" s="17" t="str">
        <f aca="false">IF($D266="","",IF(Configuración!$B$10="Sí",$D266/(1+Configuración!$B$8),$D266))</f>
        <v/>
      </c>
      <c r="G266" s="17" t="str">
        <f aca="false">IF($D266="","",F266*Configuración!$B$8)</f>
        <v/>
      </c>
      <c r="H266" s="17" t="str">
        <f aca="false">IF($D266="","",F266+G266)</f>
        <v/>
      </c>
      <c r="I266" s="17" t="str">
        <f aca="false">IF($D266="","",F266*Configuración!$B$9)</f>
        <v/>
      </c>
      <c r="J266" s="17" t="str">
        <f aca="false">IF($D266="","",F266-I266)</f>
        <v/>
      </c>
      <c r="K266" s="17" t="str">
        <f aca="false">IF($D266="","",J266*Configuración!$C$4)</f>
        <v/>
      </c>
      <c r="L266" s="17" t="str">
        <f aca="false">IF($D266="","",J266*Configuración!$C$5)</f>
        <v/>
      </c>
    </row>
    <row r="267" customFormat="false" ht="15" hidden="false" customHeight="false" outlineLevel="0" collapsed="false">
      <c r="A267" s="15"/>
      <c r="B267" s="14"/>
      <c r="C267" s="14"/>
      <c r="D267" s="16"/>
      <c r="E267" s="14"/>
      <c r="F267" s="17" t="str">
        <f aca="false">IF($D267="","",IF(Configuración!$B$10="Sí",$D267/(1+Configuración!$B$8),$D267))</f>
        <v/>
      </c>
      <c r="G267" s="17" t="str">
        <f aca="false">IF($D267="","",F267*Configuración!$B$8)</f>
        <v/>
      </c>
      <c r="H267" s="17" t="str">
        <f aca="false">IF($D267="","",F267+G267)</f>
        <v/>
      </c>
      <c r="I267" s="17" t="str">
        <f aca="false">IF($D267="","",F267*Configuración!$B$9)</f>
        <v/>
      </c>
      <c r="J267" s="17" t="str">
        <f aca="false">IF($D267="","",F267-I267)</f>
        <v/>
      </c>
      <c r="K267" s="17" t="str">
        <f aca="false">IF($D267="","",J267*Configuración!$C$4)</f>
        <v/>
      </c>
      <c r="L267" s="17" t="str">
        <f aca="false">IF($D267="","",J267*Configuración!$C$5)</f>
        <v/>
      </c>
    </row>
    <row r="268" customFormat="false" ht="15" hidden="false" customHeight="false" outlineLevel="0" collapsed="false">
      <c r="A268" s="15"/>
      <c r="B268" s="14"/>
      <c r="C268" s="14"/>
      <c r="D268" s="16"/>
      <c r="E268" s="14"/>
      <c r="F268" s="17" t="str">
        <f aca="false">IF($D268="","",IF(Configuración!$B$10="Sí",$D268/(1+Configuración!$B$8),$D268))</f>
        <v/>
      </c>
      <c r="G268" s="17" t="str">
        <f aca="false">IF($D268="","",F268*Configuración!$B$8)</f>
        <v/>
      </c>
      <c r="H268" s="17" t="str">
        <f aca="false">IF($D268="","",F268+G268)</f>
        <v/>
      </c>
      <c r="I268" s="17" t="str">
        <f aca="false">IF($D268="","",F268*Configuración!$B$9)</f>
        <v/>
      </c>
      <c r="J268" s="17" t="str">
        <f aca="false">IF($D268="","",F268-I268)</f>
        <v/>
      </c>
      <c r="K268" s="17" t="str">
        <f aca="false">IF($D268="","",J268*Configuración!$C$4)</f>
        <v/>
      </c>
      <c r="L268" s="17" t="str">
        <f aca="false">IF($D268="","",J268*Configuración!$C$5)</f>
        <v/>
      </c>
    </row>
    <row r="269" customFormat="false" ht="15" hidden="false" customHeight="false" outlineLevel="0" collapsed="false">
      <c r="A269" s="15"/>
      <c r="B269" s="14"/>
      <c r="C269" s="14"/>
      <c r="D269" s="16"/>
      <c r="E269" s="14"/>
      <c r="F269" s="17" t="str">
        <f aca="false">IF($D269="","",IF(Configuración!$B$10="Sí",$D269/(1+Configuración!$B$8),$D269))</f>
        <v/>
      </c>
      <c r="G269" s="17" t="str">
        <f aca="false">IF($D269="","",F269*Configuración!$B$8)</f>
        <v/>
      </c>
      <c r="H269" s="17" t="str">
        <f aca="false">IF($D269="","",F269+G269)</f>
        <v/>
      </c>
      <c r="I269" s="17" t="str">
        <f aca="false">IF($D269="","",F269*Configuración!$B$9)</f>
        <v/>
      </c>
      <c r="J269" s="17" t="str">
        <f aca="false">IF($D269="","",F269-I269)</f>
        <v/>
      </c>
      <c r="K269" s="17" t="str">
        <f aca="false">IF($D269="","",J269*Configuración!$C$4)</f>
        <v/>
      </c>
      <c r="L269" s="17" t="str">
        <f aca="false">IF($D269="","",J269*Configuración!$C$5)</f>
        <v/>
      </c>
    </row>
    <row r="270" customFormat="false" ht="15" hidden="false" customHeight="false" outlineLevel="0" collapsed="false">
      <c r="A270" s="15"/>
      <c r="B270" s="14"/>
      <c r="C270" s="14"/>
      <c r="D270" s="16"/>
      <c r="E270" s="14"/>
      <c r="F270" s="17" t="str">
        <f aca="false">IF($D270="","",IF(Configuración!$B$10="Sí",$D270/(1+Configuración!$B$8),$D270))</f>
        <v/>
      </c>
      <c r="G270" s="17" t="str">
        <f aca="false">IF($D270="","",F270*Configuración!$B$8)</f>
        <v/>
      </c>
      <c r="H270" s="17" t="str">
        <f aca="false">IF($D270="","",F270+G270)</f>
        <v/>
      </c>
      <c r="I270" s="17" t="str">
        <f aca="false">IF($D270="","",F270*Configuración!$B$9)</f>
        <v/>
      </c>
      <c r="J270" s="17" t="str">
        <f aca="false">IF($D270="","",F270-I270)</f>
        <v/>
      </c>
      <c r="K270" s="17" t="str">
        <f aca="false">IF($D270="","",J270*Configuración!$C$4)</f>
        <v/>
      </c>
      <c r="L270" s="17" t="str">
        <f aca="false">IF($D270="","",J270*Configuración!$C$5)</f>
        <v/>
      </c>
    </row>
    <row r="271" customFormat="false" ht="15" hidden="false" customHeight="false" outlineLevel="0" collapsed="false">
      <c r="A271" s="15"/>
      <c r="B271" s="14"/>
      <c r="C271" s="14"/>
      <c r="D271" s="16"/>
      <c r="E271" s="14"/>
      <c r="F271" s="17" t="str">
        <f aca="false">IF($D271="","",IF(Configuración!$B$10="Sí",$D271/(1+Configuración!$B$8),$D271))</f>
        <v/>
      </c>
      <c r="G271" s="17" t="str">
        <f aca="false">IF($D271="","",F271*Configuración!$B$8)</f>
        <v/>
      </c>
      <c r="H271" s="17" t="str">
        <f aca="false">IF($D271="","",F271+G271)</f>
        <v/>
      </c>
      <c r="I271" s="17" t="str">
        <f aca="false">IF($D271="","",F271*Configuración!$B$9)</f>
        <v/>
      </c>
      <c r="J271" s="17" t="str">
        <f aca="false">IF($D271="","",F271-I271)</f>
        <v/>
      </c>
      <c r="K271" s="17" t="str">
        <f aca="false">IF($D271="","",J271*Configuración!$C$4)</f>
        <v/>
      </c>
      <c r="L271" s="17" t="str">
        <f aca="false">IF($D271="","",J271*Configuración!$C$5)</f>
        <v/>
      </c>
    </row>
    <row r="272" customFormat="false" ht="15" hidden="false" customHeight="false" outlineLevel="0" collapsed="false">
      <c r="A272" s="15"/>
      <c r="B272" s="14"/>
      <c r="C272" s="14"/>
      <c r="D272" s="16"/>
      <c r="E272" s="14"/>
      <c r="F272" s="17" t="str">
        <f aca="false">IF($D272="","",IF(Configuración!$B$10="Sí",$D272/(1+Configuración!$B$8),$D272))</f>
        <v/>
      </c>
      <c r="G272" s="17" t="str">
        <f aca="false">IF($D272="","",F272*Configuración!$B$8)</f>
        <v/>
      </c>
      <c r="H272" s="17" t="str">
        <f aca="false">IF($D272="","",F272+G272)</f>
        <v/>
      </c>
      <c r="I272" s="17" t="str">
        <f aca="false">IF($D272="","",F272*Configuración!$B$9)</f>
        <v/>
      </c>
      <c r="J272" s="17" t="str">
        <f aca="false">IF($D272="","",F272-I272)</f>
        <v/>
      </c>
      <c r="K272" s="17" t="str">
        <f aca="false">IF($D272="","",J272*Configuración!$C$4)</f>
        <v/>
      </c>
      <c r="L272" s="17" t="str">
        <f aca="false">IF($D272="","",J272*Configuración!$C$5)</f>
        <v/>
      </c>
    </row>
    <row r="273" customFormat="false" ht="15" hidden="false" customHeight="false" outlineLevel="0" collapsed="false">
      <c r="A273" s="15"/>
      <c r="B273" s="14"/>
      <c r="C273" s="14"/>
      <c r="D273" s="16"/>
      <c r="E273" s="14"/>
      <c r="F273" s="17" t="str">
        <f aca="false">IF($D273="","",IF(Configuración!$B$10="Sí",$D273/(1+Configuración!$B$8),$D273))</f>
        <v/>
      </c>
      <c r="G273" s="17" t="str">
        <f aca="false">IF($D273="","",F273*Configuración!$B$8)</f>
        <v/>
      </c>
      <c r="H273" s="17" t="str">
        <f aca="false">IF($D273="","",F273+G273)</f>
        <v/>
      </c>
      <c r="I273" s="17" t="str">
        <f aca="false">IF($D273="","",F273*Configuración!$B$9)</f>
        <v/>
      </c>
      <c r="J273" s="17" t="str">
        <f aca="false">IF($D273="","",F273-I273)</f>
        <v/>
      </c>
      <c r="K273" s="17" t="str">
        <f aca="false">IF($D273="","",J273*Configuración!$C$4)</f>
        <v/>
      </c>
      <c r="L273" s="17" t="str">
        <f aca="false">IF($D273="","",J273*Configuración!$C$5)</f>
        <v/>
      </c>
    </row>
    <row r="274" customFormat="false" ht="15" hidden="false" customHeight="false" outlineLevel="0" collapsed="false">
      <c r="A274" s="15"/>
      <c r="B274" s="14"/>
      <c r="C274" s="14"/>
      <c r="D274" s="16"/>
      <c r="E274" s="14"/>
      <c r="F274" s="17" t="str">
        <f aca="false">IF($D274="","",IF(Configuración!$B$10="Sí",$D274/(1+Configuración!$B$8),$D274))</f>
        <v/>
      </c>
      <c r="G274" s="17" t="str">
        <f aca="false">IF($D274="","",F274*Configuración!$B$8)</f>
        <v/>
      </c>
      <c r="H274" s="17" t="str">
        <f aca="false">IF($D274="","",F274+G274)</f>
        <v/>
      </c>
      <c r="I274" s="17" t="str">
        <f aca="false">IF($D274="","",F274*Configuración!$B$9)</f>
        <v/>
      </c>
      <c r="J274" s="17" t="str">
        <f aca="false">IF($D274="","",F274-I274)</f>
        <v/>
      </c>
      <c r="K274" s="17" t="str">
        <f aca="false">IF($D274="","",J274*Configuración!$C$4)</f>
        <v/>
      </c>
      <c r="L274" s="17" t="str">
        <f aca="false">IF($D274="","",J274*Configuración!$C$5)</f>
        <v/>
      </c>
    </row>
    <row r="275" customFormat="false" ht="15" hidden="false" customHeight="false" outlineLevel="0" collapsed="false">
      <c r="A275" s="15"/>
      <c r="B275" s="14"/>
      <c r="C275" s="14"/>
      <c r="D275" s="16"/>
      <c r="E275" s="14"/>
      <c r="F275" s="17" t="str">
        <f aca="false">IF($D275="","",IF(Configuración!$B$10="Sí",$D275/(1+Configuración!$B$8),$D275))</f>
        <v/>
      </c>
      <c r="G275" s="17" t="str">
        <f aca="false">IF($D275="","",F275*Configuración!$B$8)</f>
        <v/>
      </c>
      <c r="H275" s="17" t="str">
        <f aca="false">IF($D275="","",F275+G275)</f>
        <v/>
      </c>
      <c r="I275" s="17" t="str">
        <f aca="false">IF($D275="","",F275*Configuración!$B$9)</f>
        <v/>
      </c>
      <c r="J275" s="17" t="str">
        <f aca="false">IF($D275="","",F275-I275)</f>
        <v/>
      </c>
      <c r="K275" s="17" t="str">
        <f aca="false">IF($D275="","",J275*Configuración!$C$4)</f>
        <v/>
      </c>
      <c r="L275" s="17" t="str">
        <f aca="false">IF($D275="","",J275*Configuración!$C$5)</f>
        <v/>
      </c>
    </row>
    <row r="276" customFormat="false" ht="15" hidden="false" customHeight="false" outlineLevel="0" collapsed="false">
      <c r="A276" s="15"/>
      <c r="B276" s="14"/>
      <c r="C276" s="14"/>
      <c r="D276" s="16"/>
      <c r="E276" s="14"/>
      <c r="F276" s="17" t="str">
        <f aca="false">IF($D276="","",IF(Configuración!$B$10="Sí",$D276/(1+Configuración!$B$8),$D276))</f>
        <v/>
      </c>
      <c r="G276" s="17" t="str">
        <f aca="false">IF($D276="","",F276*Configuración!$B$8)</f>
        <v/>
      </c>
      <c r="H276" s="17" t="str">
        <f aca="false">IF($D276="","",F276+G276)</f>
        <v/>
      </c>
      <c r="I276" s="17" t="str">
        <f aca="false">IF($D276="","",F276*Configuración!$B$9)</f>
        <v/>
      </c>
      <c r="J276" s="17" t="str">
        <f aca="false">IF($D276="","",F276-I276)</f>
        <v/>
      </c>
      <c r="K276" s="17" t="str">
        <f aca="false">IF($D276="","",J276*Configuración!$C$4)</f>
        <v/>
      </c>
      <c r="L276" s="17" t="str">
        <f aca="false">IF($D276="","",J276*Configuración!$C$5)</f>
        <v/>
      </c>
    </row>
    <row r="277" customFormat="false" ht="15" hidden="false" customHeight="false" outlineLevel="0" collapsed="false">
      <c r="A277" s="15"/>
      <c r="B277" s="14"/>
      <c r="C277" s="14"/>
      <c r="D277" s="16"/>
      <c r="E277" s="14"/>
      <c r="F277" s="17" t="str">
        <f aca="false">IF($D277="","",IF(Configuración!$B$10="Sí",$D277/(1+Configuración!$B$8),$D277))</f>
        <v/>
      </c>
      <c r="G277" s="17" t="str">
        <f aca="false">IF($D277="","",F277*Configuración!$B$8)</f>
        <v/>
      </c>
      <c r="H277" s="17" t="str">
        <f aca="false">IF($D277="","",F277+G277)</f>
        <v/>
      </c>
      <c r="I277" s="17" t="str">
        <f aca="false">IF($D277="","",F277*Configuración!$B$9)</f>
        <v/>
      </c>
      <c r="J277" s="17" t="str">
        <f aca="false">IF($D277="","",F277-I277)</f>
        <v/>
      </c>
      <c r="K277" s="17" t="str">
        <f aca="false">IF($D277="","",J277*Configuración!$C$4)</f>
        <v/>
      </c>
      <c r="L277" s="17" t="str">
        <f aca="false">IF($D277="","",J277*Configuración!$C$5)</f>
        <v/>
      </c>
    </row>
    <row r="278" customFormat="false" ht="15" hidden="false" customHeight="false" outlineLevel="0" collapsed="false">
      <c r="A278" s="15"/>
      <c r="B278" s="14"/>
      <c r="C278" s="14"/>
      <c r="D278" s="16"/>
      <c r="E278" s="14"/>
      <c r="F278" s="17" t="str">
        <f aca="false">IF($D278="","",IF(Configuración!$B$10="Sí",$D278/(1+Configuración!$B$8),$D278))</f>
        <v/>
      </c>
      <c r="G278" s="17" t="str">
        <f aca="false">IF($D278="","",F278*Configuración!$B$8)</f>
        <v/>
      </c>
      <c r="H278" s="17" t="str">
        <f aca="false">IF($D278="","",F278+G278)</f>
        <v/>
      </c>
      <c r="I278" s="17" t="str">
        <f aca="false">IF($D278="","",F278*Configuración!$B$9)</f>
        <v/>
      </c>
      <c r="J278" s="17" t="str">
        <f aca="false">IF($D278="","",F278-I278)</f>
        <v/>
      </c>
      <c r="K278" s="17" t="str">
        <f aca="false">IF($D278="","",J278*Configuración!$C$4)</f>
        <v/>
      </c>
      <c r="L278" s="17" t="str">
        <f aca="false">IF($D278="","",J278*Configuración!$C$5)</f>
        <v/>
      </c>
    </row>
    <row r="279" customFormat="false" ht="15" hidden="false" customHeight="false" outlineLevel="0" collapsed="false">
      <c r="A279" s="15"/>
      <c r="B279" s="14"/>
      <c r="C279" s="14"/>
      <c r="D279" s="16"/>
      <c r="E279" s="14"/>
      <c r="F279" s="17" t="str">
        <f aca="false">IF($D279="","",IF(Configuración!$B$10="Sí",$D279/(1+Configuración!$B$8),$D279))</f>
        <v/>
      </c>
      <c r="G279" s="17" t="str">
        <f aca="false">IF($D279="","",F279*Configuración!$B$8)</f>
        <v/>
      </c>
      <c r="H279" s="17" t="str">
        <f aca="false">IF($D279="","",F279+G279)</f>
        <v/>
      </c>
      <c r="I279" s="17" t="str">
        <f aca="false">IF($D279="","",F279*Configuración!$B$9)</f>
        <v/>
      </c>
      <c r="J279" s="17" t="str">
        <f aca="false">IF($D279="","",F279-I279)</f>
        <v/>
      </c>
      <c r="K279" s="17" t="str">
        <f aca="false">IF($D279="","",J279*Configuración!$C$4)</f>
        <v/>
      </c>
      <c r="L279" s="17" t="str">
        <f aca="false">IF($D279="","",J279*Configuración!$C$5)</f>
        <v/>
      </c>
    </row>
    <row r="280" customFormat="false" ht="15" hidden="false" customHeight="false" outlineLevel="0" collapsed="false">
      <c r="A280" s="15"/>
      <c r="B280" s="14"/>
      <c r="C280" s="14"/>
      <c r="D280" s="16"/>
      <c r="E280" s="14"/>
      <c r="F280" s="17" t="str">
        <f aca="false">IF($D280="","",IF(Configuración!$B$10="Sí",$D280/(1+Configuración!$B$8),$D280))</f>
        <v/>
      </c>
      <c r="G280" s="17" t="str">
        <f aca="false">IF($D280="","",F280*Configuración!$B$8)</f>
        <v/>
      </c>
      <c r="H280" s="17" t="str">
        <f aca="false">IF($D280="","",F280+G280)</f>
        <v/>
      </c>
      <c r="I280" s="17" t="str">
        <f aca="false">IF($D280="","",F280*Configuración!$B$9)</f>
        <v/>
      </c>
      <c r="J280" s="17" t="str">
        <f aca="false">IF($D280="","",F280-I280)</f>
        <v/>
      </c>
      <c r="K280" s="17" t="str">
        <f aca="false">IF($D280="","",J280*Configuración!$C$4)</f>
        <v/>
      </c>
      <c r="L280" s="17" t="str">
        <f aca="false">IF($D280="","",J280*Configuración!$C$5)</f>
        <v/>
      </c>
    </row>
    <row r="281" customFormat="false" ht="15" hidden="false" customHeight="false" outlineLevel="0" collapsed="false">
      <c r="A281" s="15"/>
      <c r="B281" s="14"/>
      <c r="C281" s="14"/>
      <c r="D281" s="16"/>
      <c r="E281" s="14"/>
      <c r="F281" s="17" t="str">
        <f aca="false">IF($D281="","",IF(Configuración!$B$10="Sí",$D281/(1+Configuración!$B$8),$D281))</f>
        <v/>
      </c>
      <c r="G281" s="17" t="str">
        <f aca="false">IF($D281="","",F281*Configuración!$B$8)</f>
        <v/>
      </c>
      <c r="H281" s="17" t="str">
        <f aca="false">IF($D281="","",F281+G281)</f>
        <v/>
      </c>
      <c r="I281" s="17" t="str">
        <f aca="false">IF($D281="","",F281*Configuración!$B$9)</f>
        <v/>
      </c>
      <c r="J281" s="17" t="str">
        <f aca="false">IF($D281="","",F281-I281)</f>
        <v/>
      </c>
      <c r="K281" s="17" t="str">
        <f aca="false">IF($D281="","",J281*Configuración!$C$4)</f>
        <v/>
      </c>
      <c r="L281" s="17" t="str">
        <f aca="false">IF($D281="","",J281*Configuración!$C$5)</f>
        <v/>
      </c>
    </row>
    <row r="282" customFormat="false" ht="15" hidden="false" customHeight="false" outlineLevel="0" collapsed="false">
      <c r="A282" s="15"/>
      <c r="B282" s="14"/>
      <c r="C282" s="14"/>
      <c r="D282" s="16"/>
      <c r="E282" s="14"/>
      <c r="F282" s="17" t="str">
        <f aca="false">IF($D282="","",IF(Configuración!$B$10="Sí",$D282/(1+Configuración!$B$8),$D282))</f>
        <v/>
      </c>
      <c r="G282" s="17" t="str">
        <f aca="false">IF($D282="","",F282*Configuración!$B$8)</f>
        <v/>
      </c>
      <c r="H282" s="17" t="str">
        <f aca="false">IF($D282="","",F282+G282)</f>
        <v/>
      </c>
      <c r="I282" s="17" t="str">
        <f aca="false">IF($D282="","",F282*Configuración!$B$9)</f>
        <v/>
      </c>
      <c r="J282" s="17" t="str">
        <f aca="false">IF($D282="","",F282-I282)</f>
        <v/>
      </c>
      <c r="K282" s="17" t="str">
        <f aca="false">IF($D282="","",J282*Configuración!$C$4)</f>
        <v/>
      </c>
      <c r="L282" s="17" t="str">
        <f aca="false">IF($D282="","",J282*Configuración!$C$5)</f>
        <v/>
      </c>
    </row>
    <row r="283" customFormat="false" ht="15" hidden="false" customHeight="false" outlineLevel="0" collapsed="false">
      <c r="A283" s="15"/>
      <c r="B283" s="14"/>
      <c r="C283" s="14"/>
      <c r="D283" s="16"/>
      <c r="E283" s="14"/>
      <c r="F283" s="17" t="str">
        <f aca="false">IF($D283="","",IF(Configuración!$B$10="Sí",$D283/(1+Configuración!$B$8),$D283))</f>
        <v/>
      </c>
      <c r="G283" s="17" t="str">
        <f aca="false">IF($D283="","",F283*Configuración!$B$8)</f>
        <v/>
      </c>
      <c r="H283" s="17" t="str">
        <f aca="false">IF($D283="","",F283+G283)</f>
        <v/>
      </c>
      <c r="I283" s="17" t="str">
        <f aca="false">IF($D283="","",F283*Configuración!$B$9)</f>
        <v/>
      </c>
      <c r="J283" s="17" t="str">
        <f aca="false">IF($D283="","",F283-I283)</f>
        <v/>
      </c>
      <c r="K283" s="17" t="str">
        <f aca="false">IF($D283="","",J283*Configuración!$C$4)</f>
        <v/>
      </c>
      <c r="L283" s="17" t="str">
        <f aca="false">IF($D283="","",J283*Configuración!$C$5)</f>
        <v/>
      </c>
    </row>
    <row r="284" customFormat="false" ht="15" hidden="false" customHeight="false" outlineLevel="0" collapsed="false">
      <c r="A284" s="15"/>
      <c r="B284" s="14"/>
      <c r="C284" s="14"/>
      <c r="D284" s="16"/>
      <c r="E284" s="14"/>
      <c r="F284" s="17" t="str">
        <f aca="false">IF($D284="","",IF(Configuración!$B$10="Sí",$D284/(1+Configuración!$B$8),$D284))</f>
        <v/>
      </c>
      <c r="G284" s="17" t="str">
        <f aca="false">IF($D284="","",F284*Configuración!$B$8)</f>
        <v/>
      </c>
      <c r="H284" s="17" t="str">
        <f aca="false">IF($D284="","",F284+G284)</f>
        <v/>
      </c>
      <c r="I284" s="17" t="str">
        <f aca="false">IF($D284="","",F284*Configuración!$B$9)</f>
        <v/>
      </c>
      <c r="J284" s="17" t="str">
        <f aca="false">IF($D284="","",F284-I284)</f>
        <v/>
      </c>
      <c r="K284" s="17" t="str">
        <f aca="false">IF($D284="","",J284*Configuración!$C$4)</f>
        <v/>
      </c>
      <c r="L284" s="17" t="str">
        <f aca="false">IF($D284="","",J284*Configuración!$C$5)</f>
        <v/>
      </c>
    </row>
    <row r="285" customFormat="false" ht="15" hidden="false" customHeight="false" outlineLevel="0" collapsed="false">
      <c r="A285" s="15"/>
      <c r="B285" s="14"/>
      <c r="C285" s="14"/>
      <c r="D285" s="16"/>
      <c r="E285" s="14"/>
      <c r="F285" s="17" t="str">
        <f aca="false">IF($D285="","",IF(Configuración!$B$10="Sí",$D285/(1+Configuración!$B$8),$D285))</f>
        <v/>
      </c>
      <c r="G285" s="17" t="str">
        <f aca="false">IF($D285="","",F285*Configuración!$B$8)</f>
        <v/>
      </c>
      <c r="H285" s="17" t="str">
        <f aca="false">IF($D285="","",F285+G285)</f>
        <v/>
      </c>
      <c r="I285" s="17" t="str">
        <f aca="false">IF($D285="","",F285*Configuración!$B$9)</f>
        <v/>
      </c>
      <c r="J285" s="17" t="str">
        <f aca="false">IF($D285="","",F285-I285)</f>
        <v/>
      </c>
      <c r="K285" s="17" t="str">
        <f aca="false">IF($D285="","",J285*Configuración!$C$4)</f>
        <v/>
      </c>
      <c r="L285" s="17" t="str">
        <f aca="false">IF($D285="","",J285*Configuración!$C$5)</f>
        <v/>
      </c>
    </row>
    <row r="286" customFormat="false" ht="15" hidden="false" customHeight="false" outlineLevel="0" collapsed="false">
      <c r="A286" s="15"/>
      <c r="B286" s="14"/>
      <c r="C286" s="14"/>
      <c r="D286" s="16"/>
      <c r="E286" s="14"/>
      <c r="F286" s="17" t="str">
        <f aca="false">IF($D286="","",IF(Configuración!$B$10="Sí",$D286/(1+Configuración!$B$8),$D286))</f>
        <v/>
      </c>
      <c r="G286" s="17" t="str">
        <f aca="false">IF($D286="","",F286*Configuración!$B$8)</f>
        <v/>
      </c>
      <c r="H286" s="17" t="str">
        <f aca="false">IF($D286="","",F286+G286)</f>
        <v/>
      </c>
      <c r="I286" s="17" t="str">
        <f aca="false">IF($D286="","",F286*Configuración!$B$9)</f>
        <v/>
      </c>
      <c r="J286" s="17" t="str">
        <f aca="false">IF($D286="","",F286-I286)</f>
        <v/>
      </c>
      <c r="K286" s="17" t="str">
        <f aca="false">IF($D286="","",J286*Configuración!$C$4)</f>
        <v/>
      </c>
      <c r="L286" s="17" t="str">
        <f aca="false">IF($D286="","",J286*Configuración!$C$5)</f>
        <v/>
      </c>
    </row>
    <row r="287" customFormat="false" ht="15" hidden="false" customHeight="false" outlineLevel="0" collapsed="false">
      <c r="A287" s="15"/>
      <c r="B287" s="14"/>
      <c r="C287" s="14"/>
      <c r="D287" s="16"/>
      <c r="E287" s="14"/>
      <c r="F287" s="17" t="str">
        <f aca="false">IF($D287="","",IF(Configuración!$B$10="Sí",$D287/(1+Configuración!$B$8),$D287))</f>
        <v/>
      </c>
      <c r="G287" s="17" t="str">
        <f aca="false">IF($D287="","",F287*Configuración!$B$8)</f>
        <v/>
      </c>
      <c r="H287" s="17" t="str">
        <f aca="false">IF($D287="","",F287+G287)</f>
        <v/>
      </c>
      <c r="I287" s="17" t="str">
        <f aca="false">IF($D287="","",F287*Configuración!$B$9)</f>
        <v/>
      </c>
      <c r="J287" s="17" t="str">
        <f aca="false">IF($D287="","",F287-I287)</f>
        <v/>
      </c>
      <c r="K287" s="17" t="str">
        <f aca="false">IF($D287="","",J287*Configuración!$C$4)</f>
        <v/>
      </c>
      <c r="L287" s="17" t="str">
        <f aca="false">IF($D287="","",J287*Configuración!$C$5)</f>
        <v/>
      </c>
    </row>
    <row r="288" customFormat="false" ht="15" hidden="false" customHeight="false" outlineLevel="0" collapsed="false">
      <c r="A288" s="15"/>
      <c r="B288" s="14"/>
      <c r="C288" s="14"/>
      <c r="D288" s="16"/>
      <c r="E288" s="14"/>
      <c r="F288" s="17" t="str">
        <f aca="false">IF($D288="","",IF(Configuración!$B$10="Sí",$D288/(1+Configuración!$B$8),$D288))</f>
        <v/>
      </c>
      <c r="G288" s="17" t="str">
        <f aca="false">IF($D288="","",F288*Configuración!$B$8)</f>
        <v/>
      </c>
      <c r="H288" s="17" t="str">
        <f aca="false">IF($D288="","",F288+G288)</f>
        <v/>
      </c>
      <c r="I288" s="17" t="str">
        <f aca="false">IF($D288="","",F288*Configuración!$B$9)</f>
        <v/>
      </c>
      <c r="J288" s="17" t="str">
        <f aca="false">IF($D288="","",F288-I288)</f>
        <v/>
      </c>
      <c r="K288" s="17" t="str">
        <f aca="false">IF($D288="","",J288*Configuración!$C$4)</f>
        <v/>
      </c>
      <c r="L288" s="17" t="str">
        <f aca="false">IF($D288="","",J288*Configuración!$C$5)</f>
        <v/>
      </c>
    </row>
    <row r="289" customFormat="false" ht="15" hidden="false" customHeight="false" outlineLevel="0" collapsed="false">
      <c r="A289" s="15"/>
      <c r="B289" s="14"/>
      <c r="C289" s="14"/>
      <c r="D289" s="16"/>
      <c r="E289" s="14"/>
      <c r="F289" s="17" t="str">
        <f aca="false">IF($D289="","",IF(Configuración!$B$10="Sí",$D289/(1+Configuración!$B$8),$D289))</f>
        <v/>
      </c>
      <c r="G289" s="17" t="str">
        <f aca="false">IF($D289="","",F289*Configuración!$B$8)</f>
        <v/>
      </c>
      <c r="H289" s="17" t="str">
        <f aca="false">IF($D289="","",F289+G289)</f>
        <v/>
      </c>
      <c r="I289" s="17" t="str">
        <f aca="false">IF($D289="","",F289*Configuración!$B$9)</f>
        <v/>
      </c>
      <c r="J289" s="17" t="str">
        <f aca="false">IF($D289="","",F289-I289)</f>
        <v/>
      </c>
      <c r="K289" s="17" t="str">
        <f aca="false">IF($D289="","",J289*Configuración!$C$4)</f>
        <v/>
      </c>
      <c r="L289" s="17" t="str">
        <f aca="false">IF($D289="","",J289*Configuración!$C$5)</f>
        <v/>
      </c>
    </row>
    <row r="290" customFormat="false" ht="15" hidden="false" customHeight="false" outlineLevel="0" collapsed="false">
      <c r="A290" s="15"/>
      <c r="B290" s="14"/>
      <c r="C290" s="14"/>
      <c r="D290" s="16"/>
      <c r="E290" s="14"/>
      <c r="F290" s="17" t="str">
        <f aca="false">IF($D290="","",IF(Configuración!$B$10="Sí",$D290/(1+Configuración!$B$8),$D290))</f>
        <v/>
      </c>
      <c r="G290" s="17" t="str">
        <f aca="false">IF($D290="","",F290*Configuración!$B$8)</f>
        <v/>
      </c>
      <c r="H290" s="17" t="str">
        <f aca="false">IF($D290="","",F290+G290)</f>
        <v/>
      </c>
      <c r="I290" s="17" t="str">
        <f aca="false">IF($D290="","",F290*Configuración!$B$9)</f>
        <v/>
      </c>
      <c r="J290" s="17" t="str">
        <f aca="false">IF($D290="","",F290-I290)</f>
        <v/>
      </c>
      <c r="K290" s="17" t="str">
        <f aca="false">IF($D290="","",J290*Configuración!$C$4)</f>
        <v/>
      </c>
      <c r="L290" s="17" t="str">
        <f aca="false">IF($D290="","",J290*Configuración!$C$5)</f>
        <v/>
      </c>
    </row>
    <row r="291" customFormat="false" ht="15" hidden="false" customHeight="false" outlineLevel="0" collapsed="false">
      <c r="A291" s="15"/>
      <c r="B291" s="14"/>
      <c r="C291" s="14"/>
      <c r="D291" s="16"/>
      <c r="E291" s="14"/>
      <c r="F291" s="17" t="str">
        <f aca="false">IF($D291="","",IF(Configuración!$B$10="Sí",$D291/(1+Configuración!$B$8),$D291))</f>
        <v/>
      </c>
      <c r="G291" s="17" t="str">
        <f aca="false">IF($D291="","",F291*Configuración!$B$8)</f>
        <v/>
      </c>
      <c r="H291" s="17" t="str">
        <f aca="false">IF($D291="","",F291+G291)</f>
        <v/>
      </c>
      <c r="I291" s="17" t="str">
        <f aca="false">IF($D291="","",F291*Configuración!$B$9)</f>
        <v/>
      </c>
      <c r="J291" s="17" t="str">
        <f aca="false">IF($D291="","",F291-I291)</f>
        <v/>
      </c>
      <c r="K291" s="17" t="str">
        <f aca="false">IF($D291="","",J291*Configuración!$C$4)</f>
        <v/>
      </c>
      <c r="L291" s="17" t="str">
        <f aca="false">IF($D291="","",J291*Configuración!$C$5)</f>
        <v/>
      </c>
    </row>
    <row r="292" customFormat="false" ht="15" hidden="false" customHeight="false" outlineLevel="0" collapsed="false">
      <c r="A292" s="15"/>
      <c r="B292" s="14"/>
      <c r="C292" s="14"/>
      <c r="D292" s="16"/>
      <c r="E292" s="14"/>
      <c r="F292" s="17" t="str">
        <f aca="false">IF($D292="","",IF(Configuración!$B$10="Sí",$D292/(1+Configuración!$B$8),$D292))</f>
        <v/>
      </c>
      <c r="G292" s="17" t="str">
        <f aca="false">IF($D292="","",F292*Configuración!$B$8)</f>
        <v/>
      </c>
      <c r="H292" s="17" t="str">
        <f aca="false">IF($D292="","",F292+G292)</f>
        <v/>
      </c>
      <c r="I292" s="17" t="str">
        <f aca="false">IF($D292="","",F292*Configuración!$B$9)</f>
        <v/>
      </c>
      <c r="J292" s="17" t="str">
        <f aca="false">IF($D292="","",F292-I292)</f>
        <v/>
      </c>
      <c r="K292" s="17" t="str">
        <f aca="false">IF($D292="","",J292*Configuración!$C$4)</f>
        <v/>
      </c>
      <c r="L292" s="17" t="str">
        <f aca="false">IF($D292="","",J292*Configuración!$C$5)</f>
        <v/>
      </c>
    </row>
    <row r="293" customFormat="false" ht="15" hidden="false" customHeight="false" outlineLevel="0" collapsed="false">
      <c r="A293" s="15"/>
      <c r="B293" s="14"/>
      <c r="C293" s="14"/>
      <c r="D293" s="16"/>
      <c r="E293" s="14"/>
      <c r="F293" s="17" t="str">
        <f aca="false">IF($D293="","",IF(Configuración!$B$10="Sí",$D293/(1+Configuración!$B$8),$D293))</f>
        <v/>
      </c>
      <c r="G293" s="17" t="str">
        <f aca="false">IF($D293="","",F293*Configuración!$B$8)</f>
        <v/>
      </c>
      <c r="H293" s="17" t="str">
        <f aca="false">IF($D293="","",F293+G293)</f>
        <v/>
      </c>
      <c r="I293" s="17" t="str">
        <f aca="false">IF($D293="","",F293*Configuración!$B$9)</f>
        <v/>
      </c>
      <c r="J293" s="17" t="str">
        <f aca="false">IF($D293="","",F293-I293)</f>
        <v/>
      </c>
      <c r="K293" s="17" t="str">
        <f aca="false">IF($D293="","",J293*Configuración!$C$4)</f>
        <v/>
      </c>
      <c r="L293" s="17" t="str">
        <f aca="false">IF($D293="","",J293*Configuración!$C$5)</f>
        <v/>
      </c>
    </row>
    <row r="294" customFormat="false" ht="15" hidden="false" customHeight="false" outlineLevel="0" collapsed="false">
      <c r="A294" s="15"/>
      <c r="B294" s="14"/>
      <c r="C294" s="14"/>
      <c r="D294" s="16"/>
      <c r="E294" s="14"/>
      <c r="F294" s="17" t="str">
        <f aca="false">IF($D294="","",IF(Configuración!$B$10="Sí",$D294/(1+Configuración!$B$8),$D294))</f>
        <v/>
      </c>
      <c r="G294" s="17" t="str">
        <f aca="false">IF($D294="","",F294*Configuración!$B$8)</f>
        <v/>
      </c>
      <c r="H294" s="17" t="str">
        <f aca="false">IF($D294="","",F294+G294)</f>
        <v/>
      </c>
      <c r="I294" s="17" t="str">
        <f aca="false">IF($D294="","",F294*Configuración!$B$9)</f>
        <v/>
      </c>
      <c r="J294" s="17" t="str">
        <f aca="false">IF($D294="","",F294-I294)</f>
        <v/>
      </c>
      <c r="K294" s="17" t="str">
        <f aca="false">IF($D294="","",J294*Configuración!$C$4)</f>
        <v/>
      </c>
      <c r="L294" s="17" t="str">
        <f aca="false">IF($D294="","",J294*Configuración!$C$5)</f>
        <v/>
      </c>
    </row>
    <row r="295" customFormat="false" ht="15" hidden="false" customHeight="false" outlineLevel="0" collapsed="false">
      <c r="A295" s="15"/>
      <c r="B295" s="14"/>
      <c r="C295" s="14"/>
      <c r="D295" s="16"/>
      <c r="E295" s="14"/>
      <c r="F295" s="17" t="str">
        <f aca="false">IF($D295="","",IF(Configuración!$B$10="Sí",$D295/(1+Configuración!$B$8),$D295))</f>
        <v/>
      </c>
      <c r="G295" s="17" t="str">
        <f aca="false">IF($D295="","",F295*Configuración!$B$8)</f>
        <v/>
      </c>
      <c r="H295" s="17" t="str">
        <f aca="false">IF($D295="","",F295+G295)</f>
        <v/>
      </c>
      <c r="I295" s="17" t="str">
        <f aca="false">IF($D295="","",F295*Configuración!$B$9)</f>
        <v/>
      </c>
      <c r="J295" s="17" t="str">
        <f aca="false">IF($D295="","",F295-I295)</f>
        <v/>
      </c>
      <c r="K295" s="17" t="str">
        <f aca="false">IF($D295="","",J295*Configuración!$C$4)</f>
        <v/>
      </c>
      <c r="L295" s="17" t="str">
        <f aca="false">IF($D295="","",J295*Configuración!$C$5)</f>
        <v/>
      </c>
    </row>
    <row r="296" customFormat="false" ht="15" hidden="false" customHeight="false" outlineLevel="0" collapsed="false">
      <c r="A296" s="15"/>
      <c r="B296" s="14"/>
      <c r="C296" s="14"/>
      <c r="D296" s="16"/>
      <c r="E296" s="14"/>
      <c r="F296" s="17" t="str">
        <f aca="false">IF($D296="","",IF(Configuración!$B$10="Sí",$D296/(1+Configuración!$B$8),$D296))</f>
        <v/>
      </c>
      <c r="G296" s="17" t="str">
        <f aca="false">IF($D296="","",F296*Configuración!$B$8)</f>
        <v/>
      </c>
      <c r="H296" s="17" t="str">
        <f aca="false">IF($D296="","",F296+G296)</f>
        <v/>
      </c>
      <c r="I296" s="17" t="str">
        <f aca="false">IF($D296="","",F296*Configuración!$B$9)</f>
        <v/>
      </c>
      <c r="J296" s="17" t="str">
        <f aca="false">IF($D296="","",F296-I296)</f>
        <v/>
      </c>
      <c r="K296" s="17" t="str">
        <f aca="false">IF($D296="","",J296*Configuración!$C$4)</f>
        <v/>
      </c>
      <c r="L296" s="17" t="str">
        <f aca="false">IF($D296="","",J296*Configuración!$C$5)</f>
        <v/>
      </c>
    </row>
    <row r="297" customFormat="false" ht="15" hidden="false" customHeight="false" outlineLevel="0" collapsed="false">
      <c r="A297" s="15"/>
      <c r="B297" s="14"/>
      <c r="C297" s="14"/>
      <c r="D297" s="16"/>
      <c r="E297" s="14"/>
      <c r="F297" s="17" t="str">
        <f aca="false">IF($D297="","",IF(Configuración!$B$10="Sí",$D297/(1+Configuración!$B$8),$D297))</f>
        <v/>
      </c>
      <c r="G297" s="17" t="str">
        <f aca="false">IF($D297="","",F297*Configuración!$B$8)</f>
        <v/>
      </c>
      <c r="H297" s="17" t="str">
        <f aca="false">IF($D297="","",F297+G297)</f>
        <v/>
      </c>
      <c r="I297" s="17" t="str">
        <f aca="false">IF($D297="","",F297*Configuración!$B$9)</f>
        <v/>
      </c>
      <c r="J297" s="17" t="str">
        <f aca="false">IF($D297="","",F297-I297)</f>
        <v/>
      </c>
      <c r="K297" s="17" t="str">
        <f aca="false">IF($D297="","",J297*Configuración!$C$4)</f>
        <v/>
      </c>
      <c r="L297" s="17" t="str">
        <f aca="false">IF($D297="","",J297*Configuración!$C$5)</f>
        <v/>
      </c>
    </row>
    <row r="298" customFormat="false" ht="15" hidden="false" customHeight="false" outlineLevel="0" collapsed="false">
      <c r="A298" s="15"/>
      <c r="B298" s="14"/>
      <c r="C298" s="14"/>
      <c r="D298" s="16"/>
      <c r="E298" s="14"/>
      <c r="F298" s="17" t="str">
        <f aca="false">IF($D298="","",IF(Configuración!$B$10="Sí",$D298/(1+Configuración!$B$8),$D298))</f>
        <v/>
      </c>
      <c r="G298" s="17" t="str">
        <f aca="false">IF($D298="","",F298*Configuración!$B$8)</f>
        <v/>
      </c>
      <c r="H298" s="17" t="str">
        <f aca="false">IF($D298="","",F298+G298)</f>
        <v/>
      </c>
      <c r="I298" s="17" t="str">
        <f aca="false">IF($D298="","",F298*Configuración!$B$9)</f>
        <v/>
      </c>
      <c r="J298" s="17" t="str">
        <f aca="false">IF($D298="","",F298-I298)</f>
        <v/>
      </c>
      <c r="K298" s="17" t="str">
        <f aca="false">IF($D298="","",J298*Configuración!$C$4)</f>
        <v/>
      </c>
      <c r="L298" s="17" t="str">
        <f aca="false">IF($D298="","",J298*Configuración!$C$5)</f>
        <v/>
      </c>
    </row>
    <row r="299" customFormat="false" ht="15" hidden="false" customHeight="false" outlineLevel="0" collapsed="false">
      <c r="A299" s="15"/>
      <c r="B299" s="14"/>
      <c r="C299" s="14"/>
      <c r="D299" s="16"/>
      <c r="E299" s="14"/>
      <c r="F299" s="17" t="str">
        <f aca="false">IF($D299="","",IF(Configuración!$B$10="Sí",$D299/(1+Configuración!$B$8),$D299))</f>
        <v/>
      </c>
      <c r="G299" s="17" t="str">
        <f aca="false">IF($D299="","",F299*Configuración!$B$8)</f>
        <v/>
      </c>
      <c r="H299" s="17" t="str">
        <f aca="false">IF($D299="","",F299+G299)</f>
        <v/>
      </c>
      <c r="I299" s="17" t="str">
        <f aca="false">IF($D299="","",F299*Configuración!$B$9)</f>
        <v/>
      </c>
      <c r="J299" s="17" t="str">
        <f aca="false">IF($D299="","",F299-I299)</f>
        <v/>
      </c>
      <c r="K299" s="17" t="str">
        <f aca="false">IF($D299="","",J299*Configuración!$C$4)</f>
        <v/>
      </c>
      <c r="L299" s="17" t="str">
        <f aca="false">IF($D299="","",J299*Configuración!$C$5)</f>
        <v/>
      </c>
    </row>
    <row r="300" customFormat="false" ht="15" hidden="false" customHeight="false" outlineLevel="0" collapsed="false">
      <c r="A300" s="15"/>
      <c r="B300" s="14"/>
      <c r="C300" s="14"/>
      <c r="D300" s="16"/>
      <c r="E300" s="14"/>
      <c r="F300" s="17" t="str">
        <f aca="false">IF($D300="","",IF(Configuración!$B$10="Sí",$D300/(1+Configuración!$B$8),$D300))</f>
        <v/>
      </c>
      <c r="G300" s="17" t="str">
        <f aca="false">IF($D300="","",F300*Configuración!$B$8)</f>
        <v/>
      </c>
      <c r="H300" s="17" t="str">
        <f aca="false">IF($D300="","",F300+G300)</f>
        <v/>
      </c>
      <c r="I300" s="17" t="str">
        <f aca="false">IF($D300="","",F300*Configuración!$B$9)</f>
        <v/>
      </c>
      <c r="J300" s="17" t="str">
        <f aca="false">IF($D300="","",F300-I300)</f>
        <v/>
      </c>
      <c r="K300" s="17" t="str">
        <f aca="false">IF($D300="","",J300*Configuración!$C$4)</f>
        <v/>
      </c>
      <c r="L300" s="17" t="str">
        <f aca="false">IF($D300="","",J300*Configuración!$C$5)</f>
        <v/>
      </c>
    </row>
    <row r="301" customFormat="false" ht="15" hidden="false" customHeight="false" outlineLevel="0" collapsed="false">
      <c r="A301" s="15"/>
      <c r="B301" s="14"/>
      <c r="C301" s="14"/>
      <c r="D301" s="16"/>
      <c r="E301" s="14"/>
      <c r="F301" s="17" t="str">
        <f aca="false">IF($D301="","",IF(Configuración!$B$10="Sí",$D301/(1+Configuración!$B$8),$D301))</f>
        <v/>
      </c>
      <c r="G301" s="17" t="str">
        <f aca="false">IF($D301="","",F301*Configuración!$B$8)</f>
        <v/>
      </c>
      <c r="H301" s="17" t="str">
        <f aca="false">IF($D301="","",F301+G301)</f>
        <v/>
      </c>
      <c r="I301" s="17" t="str">
        <f aca="false">IF($D301="","",F301*Configuración!$B$9)</f>
        <v/>
      </c>
      <c r="J301" s="17" t="str">
        <f aca="false">IF($D301="","",F301-I301)</f>
        <v/>
      </c>
      <c r="K301" s="17" t="str">
        <f aca="false">IF($D301="","",J301*Configuración!$C$4)</f>
        <v/>
      </c>
      <c r="L301" s="17" t="str">
        <f aca="false">IF($D301="","",J301*Configuración!$C$5)</f>
        <v/>
      </c>
    </row>
    <row r="302" customFormat="false" ht="15" hidden="false" customHeight="false" outlineLevel="0" collapsed="false">
      <c r="A302" s="15"/>
      <c r="B302" s="14"/>
      <c r="C302" s="14"/>
      <c r="D302" s="16"/>
      <c r="E302" s="14"/>
      <c r="F302" s="17" t="str">
        <f aca="false">IF($D302="","",IF(Configuración!$B$10="Sí",$D302/(1+Configuración!$B$8),$D302))</f>
        <v/>
      </c>
      <c r="G302" s="17" t="str">
        <f aca="false">IF($D302="","",F302*Configuración!$B$8)</f>
        <v/>
      </c>
      <c r="H302" s="17" t="str">
        <f aca="false">IF($D302="","",F302+G302)</f>
        <v/>
      </c>
      <c r="I302" s="17" t="str">
        <f aca="false">IF($D302="","",F302*Configuración!$B$9)</f>
        <v/>
      </c>
      <c r="J302" s="17" t="str">
        <f aca="false">IF($D302="","",F302-I302)</f>
        <v/>
      </c>
      <c r="K302" s="17" t="str">
        <f aca="false">IF($D302="","",J302*Configuración!$C$4)</f>
        <v/>
      </c>
      <c r="L302" s="17" t="str">
        <f aca="false">IF($D302="","",J302*Configuración!$C$5)</f>
        <v/>
      </c>
    </row>
    <row r="303" customFormat="false" ht="15" hidden="false" customHeight="false" outlineLevel="0" collapsed="false">
      <c r="A303" s="15"/>
      <c r="B303" s="14"/>
      <c r="C303" s="14"/>
      <c r="D303" s="16"/>
      <c r="E303" s="14"/>
      <c r="F303" s="17" t="str">
        <f aca="false">IF($D303="","",IF(Configuración!$B$10="Sí",$D303/(1+Configuración!$B$8),$D303))</f>
        <v/>
      </c>
      <c r="G303" s="17" t="str">
        <f aca="false">IF($D303="","",F303*Configuración!$B$8)</f>
        <v/>
      </c>
      <c r="H303" s="17" t="str">
        <f aca="false">IF($D303="","",F303+G303)</f>
        <v/>
      </c>
      <c r="I303" s="17" t="str">
        <f aca="false">IF($D303="","",F303*Configuración!$B$9)</f>
        <v/>
      </c>
      <c r="J303" s="17" t="str">
        <f aca="false">IF($D303="","",F303-I303)</f>
        <v/>
      </c>
      <c r="K303" s="17" t="str">
        <f aca="false">IF($D303="","",J303*Configuración!$C$4)</f>
        <v/>
      </c>
      <c r="L303" s="17" t="str">
        <f aca="false">IF($D303="","",J303*Configuración!$C$5)</f>
        <v/>
      </c>
    </row>
    <row r="304" customFormat="false" ht="15" hidden="false" customHeight="false" outlineLevel="0" collapsed="false">
      <c r="A304" s="15"/>
      <c r="B304" s="14"/>
      <c r="C304" s="14"/>
      <c r="D304" s="16"/>
      <c r="E304" s="14"/>
      <c r="F304" s="17" t="str">
        <f aca="false">IF($D304="","",IF(Configuración!$B$10="Sí",$D304/(1+Configuración!$B$8),$D304))</f>
        <v/>
      </c>
      <c r="G304" s="17" t="str">
        <f aca="false">IF($D304="","",F304*Configuración!$B$8)</f>
        <v/>
      </c>
      <c r="H304" s="17" t="str">
        <f aca="false">IF($D304="","",F304+G304)</f>
        <v/>
      </c>
      <c r="I304" s="17" t="str">
        <f aca="false">IF($D304="","",F304*Configuración!$B$9)</f>
        <v/>
      </c>
      <c r="J304" s="17" t="str">
        <f aca="false">IF($D304="","",F304-I304)</f>
        <v/>
      </c>
      <c r="K304" s="17" t="str">
        <f aca="false">IF($D304="","",J304*Configuración!$C$4)</f>
        <v/>
      </c>
      <c r="L304" s="17" t="str">
        <f aca="false">IF($D304="","",J304*Configuración!$C$5)</f>
        <v/>
      </c>
    </row>
    <row r="305" customFormat="false" ht="15" hidden="false" customHeight="false" outlineLevel="0" collapsed="false">
      <c r="A305" s="15"/>
      <c r="B305" s="14"/>
      <c r="C305" s="14"/>
      <c r="D305" s="16"/>
      <c r="E305" s="14"/>
      <c r="F305" s="17" t="str">
        <f aca="false">IF($D305="","",IF(Configuración!$B$10="Sí",$D305/(1+Configuración!$B$8),$D305))</f>
        <v/>
      </c>
      <c r="G305" s="17" t="str">
        <f aca="false">IF($D305="","",F305*Configuración!$B$8)</f>
        <v/>
      </c>
      <c r="H305" s="17" t="str">
        <f aca="false">IF($D305="","",F305+G305)</f>
        <v/>
      </c>
      <c r="I305" s="17" t="str">
        <f aca="false">IF($D305="","",F305*Configuración!$B$9)</f>
        <v/>
      </c>
      <c r="J305" s="17" t="str">
        <f aca="false">IF($D305="","",F305-I305)</f>
        <v/>
      </c>
      <c r="K305" s="17" t="str">
        <f aca="false">IF($D305="","",J305*Configuración!$C$4)</f>
        <v/>
      </c>
      <c r="L305" s="17" t="str">
        <f aca="false">IF($D305="","",J305*Configuración!$C$5)</f>
        <v/>
      </c>
    </row>
    <row r="306" customFormat="false" ht="15" hidden="false" customHeight="false" outlineLevel="0" collapsed="false">
      <c r="A306" s="15"/>
      <c r="B306" s="14"/>
      <c r="C306" s="14"/>
      <c r="D306" s="16"/>
      <c r="E306" s="14"/>
      <c r="F306" s="17" t="str">
        <f aca="false">IF($D306="","",IF(Configuración!$B$10="Sí",$D306/(1+Configuración!$B$8),$D306))</f>
        <v/>
      </c>
      <c r="G306" s="17" t="str">
        <f aca="false">IF($D306="","",F306*Configuración!$B$8)</f>
        <v/>
      </c>
      <c r="H306" s="17" t="str">
        <f aca="false">IF($D306="","",F306+G306)</f>
        <v/>
      </c>
      <c r="I306" s="17" t="str">
        <f aca="false">IF($D306="","",F306*Configuración!$B$9)</f>
        <v/>
      </c>
      <c r="J306" s="17" t="str">
        <f aca="false">IF($D306="","",F306-I306)</f>
        <v/>
      </c>
      <c r="K306" s="17" t="str">
        <f aca="false">IF($D306="","",J306*Configuración!$C$4)</f>
        <v/>
      </c>
      <c r="L306" s="17" t="str">
        <f aca="false">IF($D306="","",J306*Configuración!$C$5)</f>
        <v/>
      </c>
    </row>
    <row r="307" customFormat="false" ht="15" hidden="false" customHeight="false" outlineLevel="0" collapsed="false">
      <c r="A307" s="15"/>
      <c r="B307" s="14"/>
      <c r="C307" s="14"/>
      <c r="D307" s="16"/>
      <c r="E307" s="14"/>
      <c r="F307" s="17" t="str">
        <f aca="false">IF($D307="","",IF(Configuración!$B$10="Sí",$D307/(1+Configuración!$B$8),$D307))</f>
        <v/>
      </c>
      <c r="G307" s="17" t="str">
        <f aca="false">IF($D307="","",F307*Configuración!$B$8)</f>
        <v/>
      </c>
      <c r="H307" s="17" t="str">
        <f aca="false">IF($D307="","",F307+G307)</f>
        <v/>
      </c>
      <c r="I307" s="17" t="str">
        <f aca="false">IF($D307="","",F307*Configuración!$B$9)</f>
        <v/>
      </c>
      <c r="J307" s="17" t="str">
        <f aca="false">IF($D307="","",F307-I307)</f>
        <v/>
      </c>
      <c r="K307" s="17" t="str">
        <f aca="false">IF($D307="","",J307*Configuración!$C$4)</f>
        <v/>
      </c>
      <c r="L307" s="17" t="str">
        <f aca="false">IF($D307="","",J307*Configuración!$C$5)</f>
        <v/>
      </c>
    </row>
    <row r="308" customFormat="false" ht="15" hidden="false" customHeight="false" outlineLevel="0" collapsed="false">
      <c r="A308" s="15"/>
      <c r="B308" s="14"/>
      <c r="C308" s="14"/>
      <c r="D308" s="16"/>
      <c r="E308" s="14"/>
      <c r="F308" s="17" t="str">
        <f aca="false">IF($D308="","",IF(Configuración!$B$10="Sí",$D308/(1+Configuración!$B$8),$D308))</f>
        <v/>
      </c>
      <c r="G308" s="17" t="str">
        <f aca="false">IF($D308="","",F308*Configuración!$B$8)</f>
        <v/>
      </c>
      <c r="H308" s="17" t="str">
        <f aca="false">IF($D308="","",F308+G308)</f>
        <v/>
      </c>
      <c r="I308" s="17" t="str">
        <f aca="false">IF($D308="","",F308*Configuración!$B$9)</f>
        <v/>
      </c>
      <c r="J308" s="17" t="str">
        <f aca="false">IF($D308="","",F308-I308)</f>
        <v/>
      </c>
      <c r="K308" s="17" t="str">
        <f aca="false">IF($D308="","",J308*Configuración!$C$4)</f>
        <v/>
      </c>
      <c r="L308" s="17" t="str">
        <f aca="false">IF($D308="","",J308*Configuración!$C$5)</f>
        <v/>
      </c>
    </row>
    <row r="309" customFormat="false" ht="15" hidden="false" customHeight="false" outlineLevel="0" collapsed="false">
      <c r="A309" s="15"/>
      <c r="B309" s="14"/>
      <c r="C309" s="14"/>
      <c r="D309" s="16"/>
      <c r="E309" s="14"/>
      <c r="F309" s="17" t="str">
        <f aca="false">IF($D309="","",IF(Configuración!$B$10="Sí",$D309/(1+Configuración!$B$8),$D309))</f>
        <v/>
      </c>
      <c r="G309" s="17" t="str">
        <f aca="false">IF($D309="","",F309*Configuración!$B$8)</f>
        <v/>
      </c>
      <c r="H309" s="17" t="str">
        <f aca="false">IF($D309="","",F309+G309)</f>
        <v/>
      </c>
      <c r="I309" s="17" t="str">
        <f aca="false">IF($D309="","",F309*Configuración!$B$9)</f>
        <v/>
      </c>
      <c r="J309" s="17" t="str">
        <f aca="false">IF($D309="","",F309-I309)</f>
        <v/>
      </c>
      <c r="K309" s="17" t="str">
        <f aca="false">IF($D309="","",J309*Configuración!$C$4)</f>
        <v/>
      </c>
      <c r="L309" s="17" t="str">
        <f aca="false">IF($D309="","",J309*Configuración!$C$5)</f>
        <v/>
      </c>
    </row>
    <row r="310" customFormat="false" ht="15" hidden="false" customHeight="false" outlineLevel="0" collapsed="false">
      <c r="A310" s="15"/>
      <c r="B310" s="14"/>
      <c r="C310" s="14"/>
      <c r="D310" s="16"/>
      <c r="E310" s="14"/>
      <c r="F310" s="17" t="str">
        <f aca="false">IF($D310="","",IF(Configuración!$B$10="Sí",$D310/(1+Configuración!$B$8),$D310))</f>
        <v/>
      </c>
      <c r="G310" s="17" t="str">
        <f aca="false">IF($D310="","",F310*Configuración!$B$8)</f>
        <v/>
      </c>
      <c r="H310" s="17" t="str">
        <f aca="false">IF($D310="","",F310+G310)</f>
        <v/>
      </c>
      <c r="I310" s="17" t="str">
        <f aca="false">IF($D310="","",F310*Configuración!$B$9)</f>
        <v/>
      </c>
      <c r="J310" s="17" t="str">
        <f aca="false">IF($D310="","",F310-I310)</f>
        <v/>
      </c>
      <c r="K310" s="17" t="str">
        <f aca="false">IF($D310="","",J310*Configuración!$C$4)</f>
        <v/>
      </c>
      <c r="L310" s="17" t="str">
        <f aca="false">IF($D310="","",J310*Configuración!$C$5)</f>
        <v/>
      </c>
    </row>
    <row r="311" customFormat="false" ht="15" hidden="false" customHeight="false" outlineLevel="0" collapsed="false">
      <c r="A311" s="15"/>
      <c r="B311" s="14"/>
      <c r="C311" s="14"/>
      <c r="D311" s="16"/>
      <c r="E311" s="14"/>
      <c r="F311" s="17" t="str">
        <f aca="false">IF($D311="","",IF(Configuración!$B$10="Sí",$D311/(1+Configuración!$B$8),$D311))</f>
        <v/>
      </c>
      <c r="G311" s="17" t="str">
        <f aca="false">IF($D311="","",F311*Configuración!$B$8)</f>
        <v/>
      </c>
      <c r="H311" s="17" t="str">
        <f aca="false">IF($D311="","",F311+G311)</f>
        <v/>
      </c>
      <c r="I311" s="17" t="str">
        <f aca="false">IF($D311="","",F311*Configuración!$B$9)</f>
        <v/>
      </c>
      <c r="J311" s="17" t="str">
        <f aca="false">IF($D311="","",F311-I311)</f>
        <v/>
      </c>
      <c r="K311" s="17" t="str">
        <f aca="false">IF($D311="","",J311*Configuración!$C$4)</f>
        <v/>
      </c>
      <c r="L311" s="17" t="str">
        <f aca="false">IF($D311="","",J311*Configuración!$C$5)</f>
        <v/>
      </c>
    </row>
    <row r="312" customFormat="false" ht="15" hidden="false" customHeight="false" outlineLevel="0" collapsed="false">
      <c r="A312" s="15"/>
      <c r="B312" s="14"/>
      <c r="C312" s="14"/>
      <c r="D312" s="16"/>
      <c r="E312" s="14"/>
      <c r="F312" s="17" t="str">
        <f aca="false">IF($D312="","",IF(Configuración!$B$10="Sí",$D312/(1+Configuración!$B$8),$D312))</f>
        <v/>
      </c>
      <c r="G312" s="17" t="str">
        <f aca="false">IF($D312="","",F312*Configuración!$B$8)</f>
        <v/>
      </c>
      <c r="H312" s="17" t="str">
        <f aca="false">IF($D312="","",F312+G312)</f>
        <v/>
      </c>
      <c r="I312" s="17" t="str">
        <f aca="false">IF($D312="","",F312*Configuración!$B$9)</f>
        <v/>
      </c>
      <c r="J312" s="17" t="str">
        <f aca="false">IF($D312="","",F312-I312)</f>
        <v/>
      </c>
      <c r="K312" s="17" t="str">
        <f aca="false">IF($D312="","",J312*Configuración!$C$4)</f>
        <v/>
      </c>
      <c r="L312" s="17" t="str">
        <f aca="false">IF($D312="","",J312*Configuración!$C$5)</f>
        <v/>
      </c>
    </row>
    <row r="313" customFormat="false" ht="15" hidden="false" customHeight="false" outlineLevel="0" collapsed="false">
      <c r="A313" s="15"/>
      <c r="B313" s="14"/>
      <c r="C313" s="14"/>
      <c r="D313" s="16"/>
      <c r="E313" s="14"/>
      <c r="F313" s="17" t="str">
        <f aca="false">IF($D313="","",IF(Configuración!$B$10="Sí",$D313/(1+Configuración!$B$8),$D313))</f>
        <v/>
      </c>
      <c r="G313" s="17" t="str">
        <f aca="false">IF($D313="","",F313*Configuración!$B$8)</f>
        <v/>
      </c>
      <c r="H313" s="17" t="str">
        <f aca="false">IF($D313="","",F313+G313)</f>
        <v/>
      </c>
      <c r="I313" s="17" t="str">
        <f aca="false">IF($D313="","",F313*Configuración!$B$9)</f>
        <v/>
      </c>
      <c r="J313" s="17" t="str">
        <f aca="false">IF($D313="","",F313-I313)</f>
        <v/>
      </c>
      <c r="K313" s="17" t="str">
        <f aca="false">IF($D313="","",J313*Configuración!$C$4)</f>
        <v/>
      </c>
      <c r="L313" s="17" t="str">
        <f aca="false">IF($D313="","",J313*Configuración!$C$5)</f>
        <v/>
      </c>
    </row>
    <row r="314" customFormat="false" ht="15" hidden="false" customHeight="false" outlineLevel="0" collapsed="false">
      <c r="A314" s="15"/>
      <c r="B314" s="14"/>
      <c r="C314" s="14"/>
      <c r="D314" s="16"/>
      <c r="E314" s="14"/>
      <c r="F314" s="17" t="str">
        <f aca="false">IF($D314="","",IF(Configuración!$B$10="Sí",$D314/(1+Configuración!$B$8),$D314))</f>
        <v/>
      </c>
      <c r="G314" s="17" t="str">
        <f aca="false">IF($D314="","",F314*Configuración!$B$8)</f>
        <v/>
      </c>
      <c r="H314" s="17" t="str">
        <f aca="false">IF($D314="","",F314+G314)</f>
        <v/>
      </c>
      <c r="I314" s="17" t="str">
        <f aca="false">IF($D314="","",F314*Configuración!$B$9)</f>
        <v/>
      </c>
      <c r="J314" s="17" t="str">
        <f aca="false">IF($D314="","",F314-I314)</f>
        <v/>
      </c>
      <c r="K314" s="17" t="str">
        <f aca="false">IF($D314="","",J314*Configuración!$C$4)</f>
        <v/>
      </c>
      <c r="L314" s="17" t="str">
        <f aca="false">IF($D314="","",J314*Configuración!$C$5)</f>
        <v/>
      </c>
    </row>
    <row r="315" customFormat="false" ht="15" hidden="false" customHeight="false" outlineLevel="0" collapsed="false">
      <c r="A315" s="15"/>
      <c r="B315" s="14"/>
      <c r="C315" s="14"/>
      <c r="D315" s="16"/>
      <c r="E315" s="14"/>
      <c r="F315" s="17" t="str">
        <f aca="false">IF($D315="","",IF(Configuración!$B$10="Sí",$D315/(1+Configuración!$B$8),$D315))</f>
        <v/>
      </c>
      <c r="G315" s="17" t="str">
        <f aca="false">IF($D315="","",F315*Configuración!$B$8)</f>
        <v/>
      </c>
      <c r="H315" s="17" t="str">
        <f aca="false">IF($D315="","",F315+G315)</f>
        <v/>
      </c>
      <c r="I315" s="17" t="str">
        <f aca="false">IF($D315="","",F315*Configuración!$B$9)</f>
        <v/>
      </c>
      <c r="J315" s="17" t="str">
        <f aca="false">IF($D315="","",F315-I315)</f>
        <v/>
      </c>
      <c r="K315" s="17" t="str">
        <f aca="false">IF($D315="","",J315*Configuración!$C$4)</f>
        <v/>
      </c>
      <c r="L315" s="17" t="str">
        <f aca="false">IF($D315="","",J315*Configuración!$C$5)</f>
        <v/>
      </c>
    </row>
    <row r="316" customFormat="false" ht="15" hidden="false" customHeight="false" outlineLevel="0" collapsed="false">
      <c r="A316" s="15"/>
      <c r="B316" s="14"/>
      <c r="C316" s="14"/>
      <c r="D316" s="16"/>
      <c r="E316" s="14"/>
      <c r="F316" s="17" t="str">
        <f aca="false">IF($D316="","",IF(Configuración!$B$10="Sí",$D316/(1+Configuración!$B$8),$D316))</f>
        <v/>
      </c>
      <c r="G316" s="17" t="str">
        <f aca="false">IF($D316="","",F316*Configuración!$B$8)</f>
        <v/>
      </c>
      <c r="H316" s="17" t="str">
        <f aca="false">IF($D316="","",F316+G316)</f>
        <v/>
      </c>
      <c r="I316" s="17" t="str">
        <f aca="false">IF($D316="","",F316*Configuración!$B$9)</f>
        <v/>
      </c>
      <c r="J316" s="17" t="str">
        <f aca="false">IF($D316="","",F316-I316)</f>
        <v/>
      </c>
      <c r="K316" s="17" t="str">
        <f aca="false">IF($D316="","",J316*Configuración!$C$4)</f>
        <v/>
      </c>
      <c r="L316" s="17" t="str">
        <f aca="false">IF($D316="","",J316*Configuración!$C$5)</f>
        <v/>
      </c>
    </row>
    <row r="317" customFormat="false" ht="15" hidden="false" customHeight="false" outlineLevel="0" collapsed="false">
      <c r="A317" s="15"/>
      <c r="B317" s="14"/>
      <c r="C317" s="14"/>
      <c r="D317" s="16"/>
      <c r="E317" s="14"/>
      <c r="F317" s="17" t="str">
        <f aca="false">IF($D317="","",IF(Configuración!$B$10="Sí",$D317/(1+Configuración!$B$8),$D317))</f>
        <v/>
      </c>
      <c r="G317" s="17" t="str">
        <f aca="false">IF($D317="","",F317*Configuración!$B$8)</f>
        <v/>
      </c>
      <c r="H317" s="17" t="str">
        <f aca="false">IF($D317="","",F317+G317)</f>
        <v/>
      </c>
      <c r="I317" s="17" t="str">
        <f aca="false">IF($D317="","",F317*Configuración!$B$9)</f>
        <v/>
      </c>
      <c r="J317" s="17" t="str">
        <f aca="false">IF($D317="","",F317-I317)</f>
        <v/>
      </c>
      <c r="K317" s="17" t="str">
        <f aca="false">IF($D317="","",J317*Configuración!$C$4)</f>
        <v/>
      </c>
      <c r="L317" s="17" t="str">
        <f aca="false">IF($D317="","",J317*Configuración!$C$5)</f>
        <v/>
      </c>
    </row>
    <row r="318" customFormat="false" ht="15" hidden="false" customHeight="false" outlineLevel="0" collapsed="false">
      <c r="A318" s="15"/>
      <c r="B318" s="14"/>
      <c r="C318" s="14"/>
      <c r="D318" s="16"/>
      <c r="E318" s="14"/>
      <c r="F318" s="17" t="str">
        <f aca="false">IF($D318="","",IF(Configuración!$B$10="Sí",$D318/(1+Configuración!$B$8),$D318))</f>
        <v/>
      </c>
      <c r="G318" s="17" t="str">
        <f aca="false">IF($D318="","",F318*Configuración!$B$8)</f>
        <v/>
      </c>
      <c r="H318" s="17" t="str">
        <f aca="false">IF($D318="","",F318+G318)</f>
        <v/>
      </c>
      <c r="I318" s="17" t="str">
        <f aca="false">IF($D318="","",F318*Configuración!$B$9)</f>
        <v/>
      </c>
      <c r="J318" s="17" t="str">
        <f aca="false">IF($D318="","",F318-I318)</f>
        <v/>
      </c>
      <c r="K318" s="17" t="str">
        <f aca="false">IF($D318="","",J318*Configuración!$C$4)</f>
        <v/>
      </c>
      <c r="L318" s="17" t="str">
        <f aca="false">IF($D318="","",J318*Configuración!$C$5)</f>
        <v/>
      </c>
    </row>
    <row r="319" customFormat="false" ht="15" hidden="false" customHeight="false" outlineLevel="0" collapsed="false">
      <c r="A319" s="15"/>
      <c r="B319" s="14"/>
      <c r="C319" s="14"/>
      <c r="D319" s="16"/>
      <c r="E319" s="14"/>
      <c r="F319" s="17" t="str">
        <f aca="false">IF($D319="","",IF(Configuración!$B$10="Sí",$D319/(1+Configuración!$B$8),$D319))</f>
        <v/>
      </c>
      <c r="G319" s="17" t="str">
        <f aca="false">IF($D319="","",F319*Configuración!$B$8)</f>
        <v/>
      </c>
      <c r="H319" s="17" t="str">
        <f aca="false">IF($D319="","",F319+G319)</f>
        <v/>
      </c>
      <c r="I319" s="17" t="str">
        <f aca="false">IF($D319="","",F319*Configuración!$B$9)</f>
        <v/>
      </c>
      <c r="J319" s="17" t="str">
        <f aca="false">IF($D319="","",F319-I319)</f>
        <v/>
      </c>
      <c r="K319" s="17" t="str">
        <f aca="false">IF($D319="","",J319*Configuración!$C$4)</f>
        <v/>
      </c>
      <c r="L319" s="17" t="str">
        <f aca="false">IF($D319="","",J319*Configuración!$C$5)</f>
        <v/>
      </c>
    </row>
    <row r="320" customFormat="false" ht="15" hidden="false" customHeight="false" outlineLevel="0" collapsed="false">
      <c r="A320" s="15"/>
      <c r="B320" s="14"/>
      <c r="C320" s="14"/>
      <c r="D320" s="16"/>
      <c r="E320" s="14"/>
      <c r="F320" s="17" t="str">
        <f aca="false">IF($D320="","",IF(Configuración!$B$10="Sí",$D320/(1+Configuración!$B$8),$D320))</f>
        <v/>
      </c>
      <c r="G320" s="17" t="str">
        <f aca="false">IF($D320="","",F320*Configuración!$B$8)</f>
        <v/>
      </c>
      <c r="H320" s="17" t="str">
        <f aca="false">IF($D320="","",F320+G320)</f>
        <v/>
      </c>
      <c r="I320" s="17" t="str">
        <f aca="false">IF($D320="","",F320*Configuración!$B$9)</f>
        <v/>
      </c>
      <c r="J320" s="17" t="str">
        <f aca="false">IF($D320="","",F320-I320)</f>
        <v/>
      </c>
      <c r="K320" s="17" t="str">
        <f aca="false">IF($D320="","",J320*Configuración!$C$4)</f>
        <v/>
      </c>
      <c r="L320" s="17" t="str">
        <f aca="false">IF($D320="","",J320*Configuración!$C$5)</f>
        <v/>
      </c>
    </row>
    <row r="321" customFormat="false" ht="15" hidden="false" customHeight="false" outlineLevel="0" collapsed="false">
      <c r="A321" s="15"/>
      <c r="B321" s="14"/>
      <c r="C321" s="14"/>
      <c r="D321" s="16"/>
      <c r="E321" s="14"/>
      <c r="F321" s="17" t="str">
        <f aca="false">IF($D321="","",IF(Configuración!$B$10="Sí",$D321/(1+Configuración!$B$8),$D321))</f>
        <v/>
      </c>
      <c r="G321" s="17" t="str">
        <f aca="false">IF($D321="","",F321*Configuración!$B$8)</f>
        <v/>
      </c>
      <c r="H321" s="17" t="str">
        <f aca="false">IF($D321="","",F321+G321)</f>
        <v/>
      </c>
      <c r="I321" s="17" t="str">
        <f aca="false">IF($D321="","",F321*Configuración!$B$9)</f>
        <v/>
      </c>
      <c r="J321" s="17" t="str">
        <f aca="false">IF($D321="","",F321-I321)</f>
        <v/>
      </c>
      <c r="K321" s="17" t="str">
        <f aca="false">IF($D321="","",J321*Configuración!$C$4)</f>
        <v/>
      </c>
      <c r="L321" s="17" t="str">
        <f aca="false">IF($D321="","",J321*Configuración!$C$5)</f>
        <v/>
      </c>
    </row>
    <row r="322" customFormat="false" ht="15" hidden="false" customHeight="false" outlineLevel="0" collapsed="false">
      <c r="A322" s="15"/>
      <c r="B322" s="14"/>
      <c r="C322" s="14"/>
      <c r="D322" s="16"/>
      <c r="E322" s="14"/>
      <c r="F322" s="17" t="str">
        <f aca="false">IF($D322="","",IF(Configuración!$B$10="Sí",$D322/(1+Configuración!$B$8),$D322))</f>
        <v/>
      </c>
      <c r="G322" s="17" t="str">
        <f aca="false">IF($D322="","",F322*Configuración!$B$8)</f>
        <v/>
      </c>
      <c r="H322" s="17" t="str">
        <f aca="false">IF($D322="","",F322+G322)</f>
        <v/>
      </c>
      <c r="I322" s="17" t="str">
        <f aca="false">IF($D322="","",F322*Configuración!$B$9)</f>
        <v/>
      </c>
      <c r="J322" s="17" t="str">
        <f aca="false">IF($D322="","",F322-I322)</f>
        <v/>
      </c>
      <c r="K322" s="17" t="str">
        <f aca="false">IF($D322="","",J322*Configuración!$C$4)</f>
        <v/>
      </c>
      <c r="L322" s="17" t="str">
        <f aca="false">IF($D322="","",J322*Configuración!$C$5)</f>
        <v/>
      </c>
    </row>
    <row r="323" customFormat="false" ht="15" hidden="false" customHeight="false" outlineLevel="0" collapsed="false">
      <c r="A323" s="15"/>
      <c r="B323" s="14"/>
      <c r="C323" s="14"/>
      <c r="D323" s="16"/>
      <c r="E323" s="14"/>
      <c r="F323" s="17" t="str">
        <f aca="false">IF($D323="","",IF(Configuración!$B$10="Sí",$D323/(1+Configuración!$B$8),$D323))</f>
        <v/>
      </c>
      <c r="G323" s="17" t="str">
        <f aca="false">IF($D323="","",F323*Configuración!$B$8)</f>
        <v/>
      </c>
      <c r="H323" s="17" t="str">
        <f aca="false">IF($D323="","",F323+G323)</f>
        <v/>
      </c>
      <c r="I323" s="17" t="str">
        <f aca="false">IF($D323="","",F323*Configuración!$B$9)</f>
        <v/>
      </c>
      <c r="J323" s="17" t="str">
        <f aca="false">IF($D323="","",F323-I323)</f>
        <v/>
      </c>
      <c r="K323" s="17" t="str">
        <f aca="false">IF($D323="","",J323*Configuración!$C$4)</f>
        <v/>
      </c>
      <c r="L323" s="17" t="str">
        <f aca="false">IF($D323="","",J323*Configuración!$C$5)</f>
        <v/>
      </c>
    </row>
    <row r="324" customFormat="false" ht="15" hidden="false" customHeight="false" outlineLevel="0" collapsed="false">
      <c r="A324" s="15"/>
      <c r="B324" s="14"/>
      <c r="C324" s="14"/>
      <c r="D324" s="16"/>
      <c r="E324" s="14"/>
      <c r="F324" s="17" t="str">
        <f aca="false">IF($D324="","",IF(Configuración!$B$10="Sí",$D324/(1+Configuración!$B$8),$D324))</f>
        <v/>
      </c>
      <c r="G324" s="17" t="str">
        <f aca="false">IF($D324="","",F324*Configuración!$B$8)</f>
        <v/>
      </c>
      <c r="H324" s="17" t="str">
        <f aca="false">IF($D324="","",F324+G324)</f>
        <v/>
      </c>
      <c r="I324" s="17" t="str">
        <f aca="false">IF($D324="","",F324*Configuración!$B$9)</f>
        <v/>
      </c>
      <c r="J324" s="17" t="str">
        <f aca="false">IF($D324="","",F324-I324)</f>
        <v/>
      </c>
      <c r="K324" s="17" t="str">
        <f aca="false">IF($D324="","",J324*Configuración!$C$4)</f>
        <v/>
      </c>
      <c r="L324" s="17" t="str">
        <f aca="false">IF($D324="","",J324*Configuración!$C$5)</f>
        <v/>
      </c>
    </row>
    <row r="325" customFormat="false" ht="15" hidden="false" customHeight="false" outlineLevel="0" collapsed="false">
      <c r="A325" s="15"/>
      <c r="B325" s="14"/>
      <c r="C325" s="14"/>
      <c r="D325" s="16"/>
      <c r="E325" s="14"/>
      <c r="F325" s="17" t="str">
        <f aca="false">IF($D325="","",IF(Configuración!$B$10="Sí",$D325/(1+Configuración!$B$8),$D325))</f>
        <v/>
      </c>
      <c r="G325" s="17" t="str">
        <f aca="false">IF($D325="","",F325*Configuración!$B$8)</f>
        <v/>
      </c>
      <c r="H325" s="17" t="str">
        <f aca="false">IF($D325="","",F325+G325)</f>
        <v/>
      </c>
      <c r="I325" s="17" t="str">
        <f aca="false">IF($D325="","",F325*Configuración!$B$9)</f>
        <v/>
      </c>
      <c r="J325" s="17" t="str">
        <f aca="false">IF($D325="","",F325-I325)</f>
        <v/>
      </c>
      <c r="K325" s="17" t="str">
        <f aca="false">IF($D325="","",J325*Configuración!$C$4)</f>
        <v/>
      </c>
      <c r="L325" s="17" t="str">
        <f aca="false">IF($D325="","",J325*Configuración!$C$5)</f>
        <v/>
      </c>
    </row>
    <row r="326" customFormat="false" ht="15" hidden="false" customHeight="false" outlineLevel="0" collapsed="false">
      <c r="A326" s="15"/>
      <c r="B326" s="14"/>
      <c r="C326" s="14"/>
      <c r="D326" s="16"/>
      <c r="E326" s="14"/>
      <c r="F326" s="17" t="str">
        <f aca="false">IF($D326="","",IF(Configuración!$B$10="Sí",$D326/(1+Configuración!$B$8),$D326))</f>
        <v/>
      </c>
      <c r="G326" s="17" t="str">
        <f aca="false">IF($D326="","",F326*Configuración!$B$8)</f>
        <v/>
      </c>
      <c r="H326" s="17" t="str">
        <f aca="false">IF($D326="","",F326+G326)</f>
        <v/>
      </c>
      <c r="I326" s="17" t="str">
        <f aca="false">IF($D326="","",F326*Configuración!$B$9)</f>
        <v/>
      </c>
      <c r="J326" s="17" t="str">
        <f aca="false">IF($D326="","",F326-I326)</f>
        <v/>
      </c>
      <c r="K326" s="17" t="str">
        <f aca="false">IF($D326="","",J326*Configuración!$C$4)</f>
        <v/>
      </c>
      <c r="L326" s="17" t="str">
        <f aca="false">IF($D326="","",J326*Configuración!$C$5)</f>
        <v/>
      </c>
    </row>
    <row r="327" customFormat="false" ht="15" hidden="false" customHeight="false" outlineLevel="0" collapsed="false">
      <c r="A327" s="15"/>
      <c r="B327" s="14"/>
      <c r="C327" s="14"/>
      <c r="D327" s="16"/>
      <c r="E327" s="14"/>
      <c r="F327" s="17" t="str">
        <f aca="false">IF($D327="","",IF(Configuración!$B$10="Sí",$D327/(1+Configuración!$B$8),$D327))</f>
        <v/>
      </c>
      <c r="G327" s="17" t="str">
        <f aca="false">IF($D327="","",F327*Configuración!$B$8)</f>
        <v/>
      </c>
      <c r="H327" s="17" t="str">
        <f aca="false">IF($D327="","",F327+G327)</f>
        <v/>
      </c>
      <c r="I327" s="17" t="str">
        <f aca="false">IF($D327="","",F327*Configuración!$B$9)</f>
        <v/>
      </c>
      <c r="J327" s="17" t="str">
        <f aca="false">IF($D327="","",F327-I327)</f>
        <v/>
      </c>
      <c r="K327" s="17" t="str">
        <f aca="false">IF($D327="","",J327*Configuración!$C$4)</f>
        <v/>
      </c>
      <c r="L327" s="17" t="str">
        <f aca="false">IF($D327="","",J327*Configuración!$C$5)</f>
        <v/>
      </c>
    </row>
    <row r="328" customFormat="false" ht="15" hidden="false" customHeight="false" outlineLevel="0" collapsed="false">
      <c r="A328" s="15"/>
      <c r="B328" s="14"/>
      <c r="C328" s="14"/>
      <c r="D328" s="16"/>
      <c r="E328" s="14"/>
      <c r="F328" s="17" t="str">
        <f aca="false">IF($D328="","",IF(Configuración!$B$10="Sí",$D328/(1+Configuración!$B$8),$D328))</f>
        <v/>
      </c>
      <c r="G328" s="17" t="str">
        <f aca="false">IF($D328="","",F328*Configuración!$B$8)</f>
        <v/>
      </c>
      <c r="H328" s="17" t="str">
        <f aca="false">IF($D328="","",F328+G328)</f>
        <v/>
      </c>
      <c r="I328" s="17" t="str">
        <f aca="false">IF($D328="","",F328*Configuración!$B$9)</f>
        <v/>
      </c>
      <c r="J328" s="17" t="str">
        <f aca="false">IF($D328="","",F328-I328)</f>
        <v/>
      </c>
      <c r="K328" s="17" t="str">
        <f aca="false">IF($D328="","",J328*Configuración!$C$4)</f>
        <v/>
      </c>
      <c r="L328" s="17" t="str">
        <f aca="false">IF($D328="","",J328*Configuración!$C$5)</f>
        <v/>
      </c>
    </row>
    <row r="329" customFormat="false" ht="15" hidden="false" customHeight="false" outlineLevel="0" collapsed="false">
      <c r="A329" s="15"/>
      <c r="B329" s="14"/>
      <c r="C329" s="14"/>
      <c r="D329" s="16"/>
      <c r="E329" s="14"/>
      <c r="F329" s="17" t="str">
        <f aca="false">IF($D329="","",IF(Configuración!$B$10="Sí",$D329/(1+Configuración!$B$8),$D329))</f>
        <v/>
      </c>
      <c r="G329" s="17" t="str">
        <f aca="false">IF($D329="","",F329*Configuración!$B$8)</f>
        <v/>
      </c>
      <c r="H329" s="17" t="str">
        <f aca="false">IF($D329="","",F329+G329)</f>
        <v/>
      </c>
      <c r="I329" s="17" t="str">
        <f aca="false">IF($D329="","",F329*Configuración!$B$9)</f>
        <v/>
      </c>
      <c r="J329" s="17" t="str">
        <f aca="false">IF($D329="","",F329-I329)</f>
        <v/>
      </c>
      <c r="K329" s="17" t="str">
        <f aca="false">IF($D329="","",J329*Configuración!$C$4)</f>
        <v/>
      </c>
      <c r="L329" s="17" t="str">
        <f aca="false">IF($D329="","",J329*Configuración!$C$5)</f>
        <v/>
      </c>
    </row>
    <row r="330" customFormat="false" ht="15" hidden="false" customHeight="false" outlineLevel="0" collapsed="false">
      <c r="A330" s="15"/>
      <c r="B330" s="14"/>
      <c r="C330" s="14"/>
      <c r="D330" s="16"/>
      <c r="E330" s="14"/>
      <c r="F330" s="17" t="str">
        <f aca="false">IF($D330="","",IF(Configuración!$B$10="Sí",$D330/(1+Configuración!$B$8),$D330))</f>
        <v/>
      </c>
      <c r="G330" s="17" t="str">
        <f aca="false">IF($D330="","",F330*Configuración!$B$8)</f>
        <v/>
      </c>
      <c r="H330" s="17" t="str">
        <f aca="false">IF($D330="","",F330+G330)</f>
        <v/>
      </c>
      <c r="I330" s="17" t="str">
        <f aca="false">IF($D330="","",F330*Configuración!$B$9)</f>
        <v/>
      </c>
      <c r="J330" s="17" t="str">
        <f aca="false">IF($D330="","",F330-I330)</f>
        <v/>
      </c>
      <c r="K330" s="17" t="str">
        <f aca="false">IF($D330="","",J330*Configuración!$C$4)</f>
        <v/>
      </c>
      <c r="L330" s="17" t="str">
        <f aca="false">IF($D330="","",J330*Configuración!$C$5)</f>
        <v/>
      </c>
    </row>
    <row r="331" customFormat="false" ht="15" hidden="false" customHeight="false" outlineLevel="0" collapsed="false">
      <c r="A331" s="15"/>
      <c r="B331" s="14"/>
      <c r="C331" s="14"/>
      <c r="D331" s="16"/>
      <c r="E331" s="14"/>
      <c r="F331" s="17" t="str">
        <f aca="false">IF($D331="","",IF(Configuración!$B$10="Sí",$D331/(1+Configuración!$B$8),$D331))</f>
        <v/>
      </c>
      <c r="G331" s="17" t="str">
        <f aca="false">IF($D331="","",F331*Configuración!$B$8)</f>
        <v/>
      </c>
      <c r="H331" s="17" t="str">
        <f aca="false">IF($D331="","",F331+G331)</f>
        <v/>
      </c>
      <c r="I331" s="17" t="str">
        <f aca="false">IF($D331="","",F331*Configuración!$B$9)</f>
        <v/>
      </c>
      <c r="J331" s="17" t="str">
        <f aca="false">IF($D331="","",F331-I331)</f>
        <v/>
      </c>
      <c r="K331" s="17" t="str">
        <f aca="false">IF($D331="","",J331*Configuración!$C$4)</f>
        <v/>
      </c>
      <c r="L331" s="17" t="str">
        <f aca="false">IF($D331="","",J331*Configuración!$C$5)</f>
        <v/>
      </c>
    </row>
    <row r="332" customFormat="false" ht="15" hidden="false" customHeight="false" outlineLevel="0" collapsed="false">
      <c r="A332" s="15"/>
      <c r="B332" s="14"/>
      <c r="C332" s="14"/>
      <c r="D332" s="16"/>
      <c r="E332" s="14"/>
      <c r="F332" s="17" t="str">
        <f aca="false">IF($D332="","",IF(Configuración!$B$10="Sí",$D332/(1+Configuración!$B$8),$D332))</f>
        <v/>
      </c>
      <c r="G332" s="17" t="str">
        <f aca="false">IF($D332="","",F332*Configuración!$B$8)</f>
        <v/>
      </c>
      <c r="H332" s="17" t="str">
        <f aca="false">IF($D332="","",F332+G332)</f>
        <v/>
      </c>
      <c r="I332" s="17" t="str">
        <f aca="false">IF($D332="","",F332*Configuración!$B$9)</f>
        <v/>
      </c>
      <c r="J332" s="17" t="str">
        <f aca="false">IF($D332="","",F332-I332)</f>
        <v/>
      </c>
      <c r="K332" s="17" t="str">
        <f aca="false">IF($D332="","",J332*Configuración!$C$4)</f>
        <v/>
      </c>
      <c r="L332" s="17" t="str">
        <f aca="false">IF($D332="","",J332*Configuración!$C$5)</f>
        <v/>
      </c>
    </row>
    <row r="333" customFormat="false" ht="15" hidden="false" customHeight="false" outlineLevel="0" collapsed="false">
      <c r="A333" s="15"/>
      <c r="B333" s="14"/>
      <c r="C333" s="14"/>
      <c r="D333" s="16"/>
      <c r="E333" s="14"/>
      <c r="F333" s="17" t="str">
        <f aca="false">IF($D333="","",IF(Configuración!$B$10="Sí",$D333/(1+Configuración!$B$8),$D333))</f>
        <v/>
      </c>
      <c r="G333" s="17" t="str">
        <f aca="false">IF($D333="","",F333*Configuración!$B$8)</f>
        <v/>
      </c>
      <c r="H333" s="17" t="str">
        <f aca="false">IF($D333="","",F333+G333)</f>
        <v/>
      </c>
      <c r="I333" s="17" t="str">
        <f aca="false">IF($D333="","",F333*Configuración!$B$9)</f>
        <v/>
      </c>
      <c r="J333" s="17" t="str">
        <f aca="false">IF($D333="","",F333-I333)</f>
        <v/>
      </c>
      <c r="K333" s="17" t="str">
        <f aca="false">IF($D333="","",J333*Configuración!$C$4)</f>
        <v/>
      </c>
      <c r="L333" s="17" t="str">
        <f aca="false">IF($D333="","",J333*Configuración!$C$5)</f>
        <v/>
      </c>
    </row>
    <row r="334" customFormat="false" ht="15" hidden="false" customHeight="false" outlineLevel="0" collapsed="false">
      <c r="A334" s="15"/>
      <c r="B334" s="14"/>
      <c r="C334" s="14"/>
      <c r="D334" s="16"/>
      <c r="E334" s="14"/>
      <c r="F334" s="17" t="str">
        <f aca="false">IF($D334="","",IF(Configuración!$B$10="Sí",$D334/(1+Configuración!$B$8),$D334))</f>
        <v/>
      </c>
      <c r="G334" s="17" t="str">
        <f aca="false">IF($D334="","",F334*Configuración!$B$8)</f>
        <v/>
      </c>
      <c r="H334" s="17" t="str">
        <f aca="false">IF($D334="","",F334+G334)</f>
        <v/>
      </c>
      <c r="I334" s="17" t="str">
        <f aca="false">IF($D334="","",F334*Configuración!$B$9)</f>
        <v/>
      </c>
      <c r="J334" s="17" t="str">
        <f aca="false">IF($D334="","",F334-I334)</f>
        <v/>
      </c>
      <c r="K334" s="17" t="str">
        <f aca="false">IF($D334="","",J334*Configuración!$C$4)</f>
        <v/>
      </c>
      <c r="L334" s="17" t="str">
        <f aca="false">IF($D334="","",J334*Configuración!$C$5)</f>
        <v/>
      </c>
    </row>
    <row r="335" customFormat="false" ht="15" hidden="false" customHeight="false" outlineLevel="0" collapsed="false">
      <c r="A335" s="15"/>
      <c r="B335" s="14"/>
      <c r="C335" s="14"/>
      <c r="D335" s="16"/>
      <c r="E335" s="14"/>
      <c r="F335" s="17" t="str">
        <f aca="false">IF($D335="","",IF(Configuración!$B$10="Sí",$D335/(1+Configuración!$B$8),$D335))</f>
        <v/>
      </c>
      <c r="G335" s="17" t="str">
        <f aca="false">IF($D335="","",F335*Configuración!$B$8)</f>
        <v/>
      </c>
      <c r="H335" s="17" t="str">
        <f aca="false">IF($D335="","",F335+G335)</f>
        <v/>
      </c>
      <c r="I335" s="17" t="str">
        <f aca="false">IF($D335="","",F335*Configuración!$B$9)</f>
        <v/>
      </c>
      <c r="J335" s="17" t="str">
        <f aca="false">IF($D335="","",F335-I335)</f>
        <v/>
      </c>
      <c r="K335" s="17" t="str">
        <f aca="false">IF($D335="","",J335*Configuración!$C$4)</f>
        <v/>
      </c>
      <c r="L335" s="17" t="str">
        <f aca="false">IF($D335="","",J335*Configuración!$C$5)</f>
        <v/>
      </c>
    </row>
    <row r="336" customFormat="false" ht="15" hidden="false" customHeight="false" outlineLevel="0" collapsed="false">
      <c r="A336" s="15"/>
      <c r="B336" s="14"/>
      <c r="C336" s="14"/>
      <c r="D336" s="16"/>
      <c r="E336" s="14"/>
      <c r="F336" s="17" t="str">
        <f aca="false">IF($D336="","",IF(Configuración!$B$10="Sí",$D336/(1+Configuración!$B$8),$D336))</f>
        <v/>
      </c>
      <c r="G336" s="17" t="str">
        <f aca="false">IF($D336="","",F336*Configuración!$B$8)</f>
        <v/>
      </c>
      <c r="H336" s="17" t="str">
        <f aca="false">IF($D336="","",F336+G336)</f>
        <v/>
      </c>
      <c r="I336" s="17" t="str">
        <f aca="false">IF($D336="","",F336*Configuración!$B$9)</f>
        <v/>
      </c>
      <c r="J336" s="17" t="str">
        <f aca="false">IF($D336="","",F336-I336)</f>
        <v/>
      </c>
      <c r="K336" s="17" t="str">
        <f aca="false">IF($D336="","",J336*Configuración!$C$4)</f>
        <v/>
      </c>
      <c r="L336" s="17" t="str">
        <f aca="false">IF($D336="","",J336*Configuración!$C$5)</f>
        <v/>
      </c>
    </row>
    <row r="337" customFormat="false" ht="15" hidden="false" customHeight="false" outlineLevel="0" collapsed="false">
      <c r="A337" s="15"/>
      <c r="B337" s="14"/>
      <c r="C337" s="14"/>
      <c r="D337" s="16"/>
      <c r="E337" s="14"/>
      <c r="F337" s="17" t="str">
        <f aca="false">IF($D337="","",IF(Configuración!$B$10="Sí",$D337/(1+Configuración!$B$8),$D337))</f>
        <v/>
      </c>
      <c r="G337" s="17" t="str">
        <f aca="false">IF($D337="","",F337*Configuración!$B$8)</f>
        <v/>
      </c>
      <c r="H337" s="17" t="str">
        <f aca="false">IF($D337="","",F337+G337)</f>
        <v/>
      </c>
      <c r="I337" s="17" t="str">
        <f aca="false">IF($D337="","",F337*Configuración!$B$9)</f>
        <v/>
      </c>
      <c r="J337" s="17" t="str">
        <f aca="false">IF($D337="","",F337-I337)</f>
        <v/>
      </c>
      <c r="K337" s="17" t="str">
        <f aca="false">IF($D337="","",J337*Configuración!$C$4)</f>
        <v/>
      </c>
      <c r="L337" s="17" t="str">
        <f aca="false">IF($D337="","",J337*Configuración!$C$5)</f>
        <v/>
      </c>
    </row>
    <row r="338" customFormat="false" ht="15" hidden="false" customHeight="false" outlineLevel="0" collapsed="false">
      <c r="A338" s="15"/>
      <c r="B338" s="14"/>
      <c r="C338" s="14"/>
      <c r="D338" s="16"/>
      <c r="E338" s="14"/>
      <c r="F338" s="17" t="str">
        <f aca="false">IF($D338="","",IF(Configuración!$B$10="Sí",$D338/(1+Configuración!$B$8),$D338))</f>
        <v/>
      </c>
      <c r="G338" s="17" t="str">
        <f aca="false">IF($D338="","",F338*Configuración!$B$8)</f>
        <v/>
      </c>
      <c r="H338" s="17" t="str">
        <f aca="false">IF($D338="","",F338+G338)</f>
        <v/>
      </c>
      <c r="I338" s="17" t="str">
        <f aca="false">IF($D338="","",F338*Configuración!$B$9)</f>
        <v/>
      </c>
      <c r="J338" s="17" t="str">
        <f aca="false">IF($D338="","",F338-I338)</f>
        <v/>
      </c>
      <c r="K338" s="17" t="str">
        <f aca="false">IF($D338="","",J338*Configuración!$C$4)</f>
        <v/>
      </c>
      <c r="L338" s="17" t="str">
        <f aca="false">IF($D338="","",J338*Configuración!$C$5)</f>
        <v/>
      </c>
    </row>
    <row r="339" customFormat="false" ht="15" hidden="false" customHeight="false" outlineLevel="0" collapsed="false">
      <c r="A339" s="15"/>
      <c r="B339" s="14"/>
      <c r="C339" s="14"/>
      <c r="D339" s="16"/>
      <c r="E339" s="14"/>
      <c r="F339" s="17" t="str">
        <f aca="false">IF($D339="","",IF(Configuración!$B$10="Sí",$D339/(1+Configuración!$B$8),$D339))</f>
        <v/>
      </c>
      <c r="G339" s="17" t="str">
        <f aca="false">IF($D339="","",F339*Configuración!$B$8)</f>
        <v/>
      </c>
      <c r="H339" s="17" t="str">
        <f aca="false">IF($D339="","",F339+G339)</f>
        <v/>
      </c>
      <c r="I339" s="17" t="str">
        <f aca="false">IF($D339="","",F339*Configuración!$B$9)</f>
        <v/>
      </c>
      <c r="J339" s="17" t="str">
        <f aca="false">IF($D339="","",F339-I339)</f>
        <v/>
      </c>
      <c r="K339" s="17" t="str">
        <f aca="false">IF($D339="","",J339*Configuración!$C$4)</f>
        <v/>
      </c>
      <c r="L339" s="17" t="str">
        <f aca="false">IF($D339="","",J339*Configuración!$C$5)</f>
        <v/>
      </c>
    </row>
    <row r="340" customFormat="false" ht="15" hidden="false" customHeight="false" outlineLevel="0" collapsed="false">
      <c r="A340" s="15"/>
      <c r="B340" s="14"/>
      <c r="C340" s="14"/>
      <c r="D340" s="16"/>
      <c r="E340" s="14"/>
      <c r="F340" s="17" t="str">
        <f aca="false">IF($D340="","",IF(Configuración!$B$10="Sí",$D340/(1+Configuración!$B$8),$D340))</f>
        <v/>
      </c>
      <c r="G340" s="17" t="str">
        <f aca="false">IF($D340="","",F340*Configuración!$B$8)</f>
        <v/>
      </c>
      <c r="H340" s="17" t="str">
        <f aca="false">IF($D340="","",F340+G340)</f>
        <v/>
      </c>
      <c r="I340" s="17" t="str">
        <f aca="false">IF($D340="","",F340*Configuración!$B$9)</f>
        <v/>
      </c>
      <c r="J340" s="17" t="str">
        <f aca="false">IF($D340="","",F340-I340)</f>
        <v/>
      </c>
      <c r="K340" s="17" t="str">
        <f aca="false">IF($D340="","",J340*Configuración!$C$4)</f>
        <v/>
      </c>
      <c r="L340" s="17" t="str">
        <f aca="false">IF($D340="","",J340*Configuración!$C$5)</f>
        <v/>
      </c>
    </row>
    <row r="341" customFormat="false" ht="15" hidden="false" customHeight="false" outlineLevel="0" collapsed="false">
      <c r="A341" s="15"/>
      <c r="B341" s="14"/>
      <c r="C341" s="14"/>
      <c r="D341" s="16"/>
      <c r="E341" s="14"/>
      <c r="F341" s="17" t="str">
        <f aca="false">IF($D341="","",IF(Configuración!$B$10="Sí",$D341/(1+Configuración!$B$8),$D341))</f>
        <v/>
      </c>
      <c r="G341" s="17" t="str">
        <f aca="false">IF($D341="","",F341*Configuración!$B$8)</f>
        <v/>
      </c>
      <c r="H341" s="17" t="str">
        <f aca="false">IF($D341="","",F341+G341)</f>
        <v/>
      </c>
      <c r="I341" s="17" t="str">
        <f aca="false">IF($D341="","",F341*Configuración!$B$9)</f>
        <v/>
      </c>
      <c r="J341" s="17" t="str">
        <f aca="false">IF($D341="","",F341-I341)</f>
        <v/>
      </c>
      <c r="K341" s="17" t="str">
        <f aca="false">IF($D341="","",J341*Configuración!$C$4)</f>
        <v/>
      </c>
      <c r="L341" s="17" t="str">
        <f aca="false">IF($D341="","",J341*Configuración!$C$5)</f>
        <v/>
      </c>
    </row>
    <row r="342" customFormat="false" ht="15" hidden="false" customHeight="false" outlineLevel="0" collapsed="false">
      <c r="A342" s="15"/>
      <c r="B342" s="14"/>
      <c r="C342" s="14"/>
      <c r="D342" s="16"/>
      <c r="E342" s="14"/>
      <c r="F342" s="17" t="str">
        <f aca="false">IF($D342="","",IF(Configuración!$B$10="Sí",$D342/(1+Configuración!$B$8),$D342))</f>
        <v/>
      </c>
      <c r="G342" s="17" t="str">
        <f aca="false">IF($D342="","",F342*Configuración!$B$8)</f>
        <v/>
      </c>
      <c r="H342" s="17" t="str">
        <f aca="false">IF($D342="","",F342+G342)</f>
        <v/>
      </c>
      <c r="I342" s="17" t="str">
        <f aca="false">IF($D342="","",F342*Configuración!$B$9)</f>
        <v/>
      </c>
      <c r="J342" s="17" t="str">
        <f aca="false">IF($D342="","",F342-I342)</f>
        <v/>
      </c>
      <c r="K342" s="17" t="str">
        <f aca="false">IF($D342="","",J342*Configuración!$C$4)</f>
        <v/>
      </c>
      <c r="L342" s="17" t="str">
        <f aca="false">IF($D342="","",J342*Configuración!$C$5)</f>
        <v/>
      </c>
    </row>
    <row r="343" customFormat="false" ht="15" hidden="false" customHeight="false" outlineLevel="0" collapsed="false">
      <c r="A343" s="15"/>
      <c r="B343" s="14"/>
      <c r="C343" s="14"/>
      <c r="D343" s="16"/>
      <c r="E343" s="14"/>
      <c r="F343" s="17" t="str">
        <f aca="false">IF($D343="","",IF(Configuración!$B$10="Sí",$D343/(1+Configuración!$B$8),$D343))</f>
        <v/>
      </c>
      <c r="G343" s="17" t="str">
        <f aca="false">IF($D343="","",F343*Configuración!$B$8)</f>
        <v/>
      </c>
      <c r="H343" s="17" t="str">
        <f aca="false">IF($D343="","",F343+G343)</f>
        <v/>
      </c>
      <c r="I343" s="17" t="str">
        <f aca="false">IF($D343="","",F343*Configuración!$B$9)</f>
        <v/>
      </c>
      <c r="J343" s="17" t="str">
        <f aca="false">IF($D343="","",F343-I343)</f>
        <v/>
      </c>
      <c r="K343" s="17" t="str">
        <f aca="false">IF($D343="","",J343*Configuración!$C$4)</f>
        <v/>
      </c>
      <c r="L343" s="17" t="str">
        <f aca="false">IF($D343="","",J343*Configuración!$C$5)</f>
        <v/>
      </c>
    </row>
    <row r="344" customFormat="false" ht="15" hidden="false" customHeight="false" outlineLevel="0" collapsed="false">
      <c r="A344" s="15"/>
      <c r="B344" s="14"/>
      <c r="C344" s="14"/>
      <c r="D344" s="16"/>
      <c r="E344" s="14"/>
      <c r="F344" s="17" t="str">
        <f aca="false">IF($D344="","",IF(Configuración!$B$10="Sí",$D344/(1+Configuración!$B$8),$D344))</f>
        <v/>
      </c>
      <c r="G344" s="17" t="str">
        <f aca="false">IF($D344="","",F344*Configuración!$B$8)</f>
        <v/>
      </c>
      <c r="H344" s="17" t="str">
        <f aca="false">IF($D344="","",F344+G344)</f>
        <v/>
      </c>
      <c r="I344" s="17" t="str">
        <f aca="false">IF($D344="","",F344*Configuración!$B$9)</f>
        <v/>
      </c>
      <c r="J344" s="17" t="str">
        <f aca="false">IF($D344="","",F344-I344)</f>
        <v/>
      </c>
      <c r="K344" s="17" t="str">
        <f aca="false">IF($D344="","",J344*Configuración!$C$4)</f>
        <v/>
      </c>
      <c r="L344" s="17" t="str">
        <f aca="false">IF($D344="","",J344*Configuración!$C$5)</f>
        <v/>
      </c>
    </row>
    <row r="345" customFormat="false" ht="15" hidden="false" customHeight="false" outlineLevel="0" collapsed="false">
      <c r="A345" s="15"/>
      <c r="B345" s="14"/>
      <c r="C345" s="14"/>
      <c r="D345" s="16"/>
      <c r="E345" s="14"/>
      <c r="F345" s="17" t="str">
        <f aca="false">IF($D345="","",IF(Configuración!$B$10="Sí",$D345/(1+Configuración!$B$8),$D345))</f>
        <v/>
      </c>
      <c r="G345" s="17" t="str">
        <f aca="false">IF($D345="","",F345*Configuración!$B$8)</f>
        <v/>
      </c>
      <c r="H345" s="17" t="str">
        <f aca="false">IF($D345="","",F345+G345)</f>
        <v/>
      </c>
      <c r="I345" s="17" t="str">
        <f aca="false">IF($D345="","",F345*Configuración!$B$9)</f>
        <v/>
      </c>
      <c r="J345" s="17" t="str">
        <f aca="false">IF($D345="","",F345-I345)</f>
        <v/>
      </c>
      <c r="K345" s="17" t="str">
        <f aca="false">IF($D345="","",J345*Configuración!$C$4)</f>
        <v/>
      </c>
      <c r="L345" s="17" t="str">
        <f aca="false">IF($D345="","",J345*Configuración!$C$5)</f>
        <v/>
      </c>
    </row>
    <row r="346" customFormat="false" ht="15" hidden="false" customHeight="false" outlineLevel="0" collapsed="false">
      <c r="A346" s="15"/>
      <c r="B346" s="14"/>
      <c r="C346" s="14"/>
      <c r="D346" s="16"/>
      <c r="E346" s="14"/>
      <c r="F346" s="17" t="str">
        <f aca="false">IF($D346="","",IF(Configuración!$B$10="Sí",$D346/(1+Configuración!$B$8),$D346))</f>
        <v/>
      </c>
      <c r="G346" s="17" t="str">
        <f aca="false">IF($D346="","",F346*Configuración!$B$8)</f>
        <v/>
      </c>
      <c r="H346" s="17" t="str">
        <f aca="false">IF($D346="","",F346+G346)</f>
        <v/>
      </c>
      <c r="I346" s="17" t="str">
        <f aca="false">IF($D346="","",F346*Configuración!$B$9)</f>
        <v/>
      </c>
      <c r="J346" s="17" t="str">
        <f aca="false">IF($D346="","",F346-I346)</f>
        <v/>
      </c>
      <c r="K346" s="17" t="str">
        <f aca="false">IF($D346="","",J346*Configuración!$C$4)</f>
        <v/>
      </c>
      <c r="L346" s="17" t="str">
        <f aca="false">IF($D346="","",J346*Configuración!$C$5)</f>
        <v/>
      </c>
    </row>
    <row r="347" customFormat="false" ht="15" hidden="false" customHeight="false" outlineLevel="0" collapsed="false">
      <c r="A347" s="15"/>
      <c r="B347" s="14"/>
      <c r="C347" s="14"/>
      <c r="D347" s="16"/>
      <c r="E347" s="14"/>
      <c r="F347" s="17" t="str">
        <f aca="false">IF($D347="","",IF(Configuración!$B$10="Sí",$D347/(1+Configuración!$B$8),$D347))</f>
        <v/>
      </c>
      <c r="G347" s="17" t="str">
        <f aca="false">IF($D347="","",F347*Configuración!$B$8)</f>
        <v/>
      </c>
      <c r="H347" s="17" t="str">
        <f aca="false">IF($D347="","",F347+G347)</f>
        <v/>
      </c>
      <c r="I347" s="17" t="str">
        <f aca="false">IF($D347="","",F347*Configuración!$B$9)</f>
        <v/>
      </c>
      <c r="J347" s="17" t="str">
        <f aca="false">IF($D347="","",F347-I347)</f>
        <v/>
      </c>
      <c r="K347" s="17" t="str">
        <f aca="false">IF($D347="","",J347*Configuración!$C$4)</f>
        <v/>
      </c>
      <c r="L347" s="17" t="str">
        <f aca="false">IF($D347="","",J347*Configuración!$C$5)</f>
        <v/>
      </c>
    </row>
    <row r="348" customFormat="false" ht="15" hidden="false" customHeight="false" outlineLevel="0" collapsed="false">
      <c r="A348" s="15"/>
      <c r="B348" s="14"/>
      <c r="C348" s="14"/>
      <c r="D348" s="16"/>
      <c r="E348" s="14"/>
      <c r="F348" s="17" t="str">
        <f aca="false">IF($D348="","",IF(Configuración!$B$10="Sí",$D348/(1+Configuración!$B$8),$D348))</f>
        <v/>
      </c>
      <c r="G348" s="17" t="str">
        <f aca="false">IF($D348="","",F348*Configuración!$B$8)</f>
        <v/>
      </c>
      <c r="H348" s="17" t="str">
        <f aca="false">IF($D348="","",F348+G348)</f>
        <v/>
      </c>
      <c r="I348" s="17" t="str">
        <f aca="false">IF($D348="","",F348*Configuración!$B$9)</f>
        <v/>
      </c>
      <c r="J348" s="17" t="str">
        <f aca="false">IF($D348="","",F348-I348)</f>
        <v/>
      </c>
      <c r="K348" s="17" t="str">
        <f aca="false">IF($D348="","",J348*Configuración!$C$4)</f>
        <v/>
      </c>
      <c r="L348" s="17" t="str">
        <f aca="false">IF($D348="","",J348*Configuración!$C$5)</f>
        <v/>
      </c>
    </row>
    <row r="349" customFormat="false" ht="15" hidden="false" customHeight="false" outlineLevel="0" collapsed="false">
      <c r="A349" s="15"/>
      <c r="B349" s="14"/>
      <c r="C349" s="14"/>
      <c r="D349" s="16"/>
      <c r="E349" s="14"/>
      <c r="F349" s="17" t="str">
        <f aca="false">IF($D349="","",IF(Configuración!$B$10="Sí",$D349/(1+Configuración!$B$8),$D349))</f>
        <v/>
      </c>
      <c r="G349" s="17" t="str">
        <f aca="false">IF($D349="","",F349*Configuración!$B$8)</f>
        <v/>
      </c>
      <c r="H349" s="17" t="str">
        <f aca="false">IF($D349="","",F349+G349)</f>
        <v/>
      </c>
      <c r="I349" s="17" t="str">
        <f aca="false">IF($D349="","",F349*Configuración!$B$9)</f>
        <v/>
      </c>
      <c r="J349" s="17" t="str">
        <f aca="false">IF($D349="","",F349-I349)</f>
        <v/>
      </c>
      <c r="K349" s="17" t="str">
        <f aca="false">IF($D349="","",J349*Configuración!$C$4)</f>
        <v/>
      </c>
      <c r="L349" s="17" t="str">
        <f aca="false">IF($D349="","",J349*Configuración!$C$5)</f>
        <v/>
      </c>
    </row>
    <row r="350" customFormat="false" ht="15" hidden="false" customHeight="false" outlineLevel="0" collapsed="false">
      <c r="A350" s="15"/>
      <c r="B350" s="14"/>
      <c r="C350" s="14"/>
      <c r="D350" s="16"/>
      <c r="E350" s="14"/>
      <c r="F350" s="17" t="str">
        <f aca="false">IF($D350="","",IF(Configuración!$B$10="Sí",$D350/(1+Configuración!$B$8),$D350))</f>
        <v/>
      </c>
      <c r="G350" s="17" t="str">
        <f aca="false">IF($D350="","",F350*Configuración!$B$8)</f>
        <v/>
      </c>
      <c r="H350" s="17" t="str">
        <f aca="false">IF($D350="","",F350+G350)</f>
        <v/>
      </c>
      <c r="I350" s="17" t="str">
        <f aca="false">IF($D350="","",F350*Configuración!$B$9)</f>
        <v/>
      </c>
      <c r="J350" s="17" t="str">
        <f aca="false">IF($D350="","",F350-I350)</f>
        <v/>
      </c>
      <c r="K350" s="17" t="str">
        <f aca="false">IF($D350="","",J350*Configuración!$C$4)</f>
        <v/>
      </c>
      <c r="L350" s="17" t="str">
        <f aca="false">IF($D350="","",J350*Configuración!$C$5)</f>
        <v/>
      </c>
    </row>
    <row r="351" customFormat="false" ht="15" hidden="false" customHeight="false" outlineLevel="0" collapsed="false">
      <c r="A351" s="15"/>
      <c r="B351" s="14"/>
      <c r="C351" s="14"/>
      <c r="D351" s="16"/>
      <c r="E351" s="14"/>
      <c r="F351" s="17" t="str">
        <f aca="false">IF($D351="","",IF(Configuración!$B$10="Sí",$D351/(1+Configuración!$B$8),$D351))</f>
        <v/>
      </c>
      <c r="G351" s="17" t="str">
        <f aca="false">IF($D351="","",F351*Configuración!$B$8)</f>
        <v/>
      </c>
      <c r="H351" s="17" t="str">
        <f aca="false">IF($D351="","",F351+G351)</f>
        <v/>
      </c>
      <c r="I351" s="17" t="str">
        <f aca="false">IF($D351="","",F351*Configuración!$B$9)</f>
        <v/>
      </c>
      <c r="J351" s="17" t="str">
        <f aca="false">IF($D351="","",F351-I351)</f>
        <v/>
      </c>
      <c r="K351" s="17" t="str">
        <f aca="false">IF($D351="","",J351*Configuración!$C$4)</f>
        <v/>
      </c>
      <c r="L351" s="17" t="str">
        <f aca="false">IF($D351="","",J351*Configuración!$C$5)</f>
        <v/>
      </c>
    </row>
    <row r="352" customFormat="false" ht="15" hidden="false" customHeight="false" outlineLevel="0" collapsed="false">
      <c r="A352" s="15"/>
      <c r="B352" s="14"/>
      <c r="C352" s="14"/>
      <c r="D352" s="16"/>
      <c r="E352" s="14"/>
      <c r="F352" s="17" t="str">
        <f aca="false">IF($D352="","",IF(Configuración!$B$10="Sí",$D352/(1+Configuración!$B$8),$D352))</f>
        <v/>
      </c>
      <c r="G352" s="17" t="str">
        <f aca="false">IF($D352="","",F352*Configuración!$B$8)</f>
        <v/>
      </c>
      <c r="H352" s="17" t="str">
        <f aca="false">IF($D352="","",F352+G352)</f>
        <v/>
      </c>
      <c r="I352" s="17" t="str">
        <f aca="false">IF($D352="","",F352*Configuración!$B$9)</f>
        <v/>
      </c>
      <c r="J352" s="17" t="str">
        <f aca="false">IF($D352="","",F352-I352)</f>
        <v/>
      </c>
      <c r="K352" s="17" t="str">
        <f aca="false">IF($D352="","",J352*Configuración!$C$4)</f>
        <v/>
      </c>
      <c r="L352" s="17" t="str">
        <f aca="false">IF($D352="","",J352*Configuración!$C$5)</f>
        <v/>
      </c>
    </row>
    <row r="353" customFormat="false" ht="15" hidden="false" customHeight="false" outlineLevel="0" collapsed="false">
      <c r="A353" s="15"/>
      <c r="B353" s="14"/>
      <c r="C353" s="14"/>
      <c r="D353" s="16"/>
      <c r="E353" s="14"/>
      <c r="F353" s="17" t="str">
        <f aca="false">IF($D353="","",IF(Configuración!$B$10="Sí",$D353/(1+Configuración!$B$8),$D353))</f>
        <v/>
      </c>
      <c r="G353" s="17" t="str">
        <f aca="false">IF($D353="","",F353*Configuración!$B$8)</f>
        <v/>
      </c>
      <c r="H353" s="17" t="str">
        <f aca="false">IF($D353="","",F353+G353)</f>
        <v/>
      </c>
      <c r="I353" s="17" t="str">
        <f aca="false">IF($D353="","",F353*Configuración!$B$9)</f>
        <v/>
      </c>
      <c r="J353" s="17" t="str">
        <f aca="false">IF($D353="","",F353-I353)</f>
        <v/>
      </c>
      <c r="K353" s="17" t="str">
        <f aca="false">IF($D353="","",J353*Configuración!$C$4)</f>
        <v/>
      </c>
      <c r="L353" s="17" t="str">
        <f aca="false">IF($D353="","",J353*Configuración!$C$5)</f>
        <v/>
      </c>
    </row>
    <row r="354" customFormat="false" ht="15" hidden="false" customHeight="false" outlineLevel="0" collapsed="false">
      <c r="A354" s="15"/>
      <c r="B354" s="14"/>
      <c r="C354" s="14"/>
      <c r="D354" s="16"/>
      <c r="E354" s="14"/>
      <c r="F354" s="17" t="str">
        <f aca="false">IF($D354="","",IF(Configuración!$B$10="Sí",$D354/(1+Configuración!$B$8),$D354))</f>
        <v/>
      </c>
      <c r="G354" s="17" t="str">
        <f aca="false">IF($D354="","",F354*Configuración!$B$8)</f>
        <v/>
      </c>
      <c r="H354" s="17" t="str">
        <f aca="false">IF($D354="","",F354+G354)</f>
        <v/>
      </c>
      <c r="I354" s="17" t="str">
        <f aca="false">IF($D354="","",F354*Configuración!$B$9)</f>
        <v/>
      </c>
      <c r="J354" s="17" t="str">
        <f aca="false">IF($D354="","",F354-I354)</f>
        <v/>
      </c>
      <c r="K354" s="17" t="str">
        <f aca="false">IF($D354="","",J354*Configuración!$C$4)</f>
        <v/>
      </c>
      <c r="L354" s="17" t="str">
        <f aca="false">IF($D354="","",J354*Configuración!$C$5)</f>
        <v/>
      </c>
    </row>
    <row r="355" customFormat="false" ht="15" hidden="false" customHeight="false" outlineLevel="0" collapsed="false">
      <c r="A355" s="15"/>
      <c r="B355" s="14"/>
      <c r="C355" s="14"/>
      <c r="D355" s="16"/>
      <c r="E355" s="14"/>
      <c r="F355" s="17" t="str">
        <f aca="false">IF($D355="","",IF(Configuración!$B$10="Sí",$D355/(1+Configuración!$B$8),$D355))</f>
        <v/>
      </c>
      <c r="G355" s="17" t="str">
        <f aca="false">IF($D355="","",F355*Configuración!$B$8)</f>
        <v/>
      </c>
      <c r="H355" s="17" t="str">
        <f aca="false">IF($D355="","",F355+G355)</f>
        <v/>
      </c>
      <c r="I355" s="17" t="str">
        <f aca="false">IF($D355="","",F355*Configuración!$B$9)</f>
        <v/>
      </c>
      <c r="J355" s="17" t="str">
        <f aca="false">IF($D355="","",F355-I355)</f>
        <v/>
      </c>
      <c r="K355" s="17" t="str">
        <f aca="false">IF($D355="","",J355*Configuración!$C$4)</f>
        <v/>
      </c>
      <c r="L355" s="17" t="str">
        <f aca="false">IF($D355="","",J355*Configuración!$C$5)</f>
        <v/>
      </c>
    </row>
    <row r="356" customFormat="false" ht="15" hidden="false" customHeight="false" outlineLevel="0" collapsed="false">
      <c r="A356" s="15"/>
      <c r="B356" s="14"/>
      <c r="C356" s="14"/>
      <c r="D356" s="16"/>
      <c r="E356" s="14"/>
      <c r="F356" s="17" t="str">
        <f aca="false">IF($D356="","",IF(Configuración!$B$10="Sí",$D356/(1+Configuración!$B$8),$D356))</f>
        <v/>
      </c>
      <c r="G356" s="17" t="str">
        <f aca="false">IF($D356="","",F356*Configuración!$B$8)</f>
        <v/>
      </c>
      <c r="H356" s="17" t="str">
        <f aca="false">IF($D356="","",F356+G356)</f>
        <v/>
      </c>
      <c r="I356" s="17" t="str">
        <f aca="false">IF($D356="","",F356*Configuración!$B$9)</f>
        <v/>
      </c>
      <c r="J356" s="17" t="str">
        <f aca="false">IF($D356="","",F356-I356)</f>
        <v/>
      </c>
      <c r="K356" s="17" t="str">
        <f aca="false">IF($D356="","",J356*Configuración!$C$4)</f>
        <v/>
      </c>
      <c r="L356" s="17" t="str">
        <f aca="false">IF($D356="","",J356*Configuración!$C$5)</f>
        <v/>
      </c>
    </row>
    <row r="357" customFormat="false" ht="15" hidden="false" customHeight="false" outlineLevel="0" collapsed="false">
      <c r="A357" s="15"/>
      <c r="B357" s="14"/>
      <c r="C357" s="14"/>
      <c r="D357" s="16"/>
      <c r="E357" s="14"/>
      <c r="F357" s="17" t="str">
        <f aca="false">IF($D357="","",IF(Configuración!$B$10="Sí",$D357/(1+Configuración!$B$8),$D357))</f>
        <v/>
      </c>
      <c r="G357" s="17" t="str">
        <f aca="false">IF($D357="","",F357*Configuración!$B$8)</f>
        <v/>
      </c>
      <c r="H357" s="17" t="str">
        <f aca="false">IF($D357="","",F357+G357)</f>
        <v/>
      </c>
      <c r="I357" s="17" t="str">
        <f aca="false">IF($D357="","",F357*Configuración!$B$9)</f>
        <v/>
      </c>
      <c r="J357" s="17" t="str">
        <f aca="false">IF($D357="","",F357-I357)</f>
        <v/>
      </c>
      <c r="K357" s="17" t="str">
        <f aca="false">IF($D357="","",J357*Configuración!$C$4)</f>
        <v/>
      </c>
      <c r="L357" s="17" t="str">
        <f aca="false">IF($D357="","",J357*Configuración!$C$5)</f>
        <v/>
      </c>
    </row>
    <row r="358" customFormat="false" ht="15" hidden="false" customHeight="false" outlineLevel="0" collapsed="false">
      <c r="A358" s="15"/>
      <c r="B358" s="14"/>
      <c r="C358" s="14"/>
      <c r="D358" s="16"/>
      <c r="E358" s="14"/>
      <c r="F358" s="17" t="str">
        <f aca="false">IF($D358="","",IF(Configuración!$B$10="Sí",$D358/(1+Configuración!$B$8),$D358))</f>
        <v/>
      </c>
      <c r="G358" s="17" t="str">
        <f aca="false">IF($D358="","",F358*Configuración!$B$8)</f>
        <v/>
      </c>
      <c r="H358" s="17" t="str">
        <f aca="false">IF($D358="","",F358+G358)</f>
        <v/>
      </c>
      <c r="I358" s="17" t="str">
        <f aca="false">IF($D358="","",F358*Configuración!$B$9)</f>
        <v/>
      </c>
      <c r="J358" s="17" t="str">
        <f aca="false">IF($D358="","",F358-I358)</f>
        <v/>
      </c>
      <c r="K358" s="17" t="str">
        <f aca="false">IF($D358="","",J358*Configuración!$C$4)</f>
        <v/>
      </c>
      <c r="L358" s="17" t="str">
        <f aca="false">IF($D358="","",J358*Configuración!$C$5)</f>
        <v/>
      </c>
    </row>
    <row r="359" customFormat="false" ht="15" hidden="false" customHeight="false" outlineLevel="0" collapsed="false">
      <c r="A359" s="15"/>
      <c r="B359" s="14"/>
      <c r="C359" s="14"/>
      <c r="D359" s="16"/>
      <c r="E359" s="14"/>
      <c r="F359" s="17" t="str">
        <f aca="false">IF($D359="","",IF(Configuración!$B$10="Sí",$D359/(1+Configuración!$B$8),$D359))</f>
        <v/>
      </c>
      <c r="G359" s="17" t="str">
        <f aca="false">IF($D359="","",F359*Configuración!$B$8)</f>
        <v/>
      </c>
      <c r="H359" s="17" t="str">
        <f aca="false">IF($D359="","",F359+G359)</f>
        <v/>
      </c>
      <c r="I359" s="17" t="str">
        <f aca="false">IF($D359="","",F359*Configuración!$B$9)</f>
        <v/>
      </c>
      <c r="J359" s="17" t="str">
        <f aca="false">IF($D359="","",F359-I359)</f>
        <v/>
      </c>
      <c r="K359" s="17" t="str">
        <f aca="false">IF($D359="","",J359*Configuración!$C$4)</f>
        <v/>
      </c>
      <c r="L359" s="17" t="str">
        <f aca="false">IF($D359="","",J359*Configuración!$C$5)</f>
        <v/>
      </c>
    </row>
    <row r="360" customFormat="false" ht="15" hidden="false" customHeight="false" outlineLevel="0" collapsed="false">
      <c r="A360" s="15"/>
      <c r="B360" s="14"/>
      <c r="C360" s="14"/>
      <c r="D360" s="16"/>
      <c r="E360" s="14"/>
      <c r="F360" s="17" t="str">
        <f aca="false">IF($D360="","",IF(Configuración!$B$10="Sí",$D360/(1+Configuración!$B$8),$D360))</f>
        <v/>
      </c>
      <c r="G360" s="17" t="str">
        <f aca="false">IF($D360="","",F360*Configuración!$B$8)</f>
        <v/>
      </c>
      <c r="H360" s="17" t="str">
        <f aca="false">IF($D360="","",F360+G360)</f>
        <v/>
      </c>
      <c r="I360" s="17" t="str">
        <f aca="false">IF($D360="","",F360*Configuración!$B$9)</f>
        <v/>
      </c>
      <c r="J360" s="17" t="str">
        <f aca="false">IF($D360="","",F360-I360)</f>
        <v/>
      </c>
      <c r="K360" s="17" t="str">
        <f aca="false">IF($D360="","",J360*Configuración!$C$4)</f>
        <v/>
      </c>
      <c r="L360" s="17" t="str">
        <f aca="false">IF($D360="","",J360*Configuración!$C$5)</f>
        <v/>
      </c>
    </row>
    <row r="361" customFormat="false" ht="15" hidden="false" customHeight="false" outlineLevel="0" collapsed="false">
      <c r="A361" s="15"/>
      <c r="B361" s="14"/>
      <c r="C361" s="14"/>
      <c r="D361" s="16"/>
      <c r="E361" s="14"/>
      <c r="F361" s="17" t="str">
        <f aca="false">IF($D361="","",IF(Configuración!$B$10="Sí",$D361/(1+Configuración!$B$8),$D361))</f>
        <v/>
      </c>
      <c r="G361" s="17" t="str">
        <f aca="false">IF($D361="","",F361*Configuración!$B$8)</f>
        <v/>
      </c>
      <c r="H361" s="17" t="str">
        <f aca="false">IF($D361="","",F361+G361)</f>
        <v/>
      </c>
      <c r="I361" s="17" t="str">
        <f aca="false">IF($D361="","",F361*Configuración!$B$9)</f>
        <v/>
      </c>
      <c r="J361" s="17" t="str">
        <f aca="false">IF($D361="","",F361-I361)</f>
        <v/>
      </c>
      <c r="K361" s="17" t="str">
        <f aca="false">IF($D361="","",J361*Configuración!$C$4)</f>
        <v/>
      </c>
      <c r="L361" s="17" t="str">
        <f aca="false">IF($D361="","",J361*Configuración!$C$5)</f>
        <v/>
      </c>
    </row>
    <row r="362" customFormat="false" ht="15" hidden="false" customHeight="false" outlineLevel="0" collapsed="false">
      <c r="A362" s="15"/>
      <c r="B362" s="14"/>
      <c r="C362" s="14"/>
      <c r="D362" s="16"/>
      <c r="E362" s="14"/>
      <c r="F362" s="17" t="str">
        <f aca="false">IF($D362="","",IF(Configuración!$B$10="Sí",$D362/(1+Configuración!$B$8),$D362))</f>
        <v/>
      </c>
      <c r="G362" s="17" t="str">
        <f aca="false">IF($D362="","",F362*Configuración!$B$8)</f>
        <v/>
      </c>
      <c r="H362" s="17" t="str">
        <f aca="false">IF($D362="","",F362+G362)</f>
        <v/>
      </c>
      <c r="I362" s="17" t="str">
        <f aca="false">IF($D362="","",F362*Configuración!$B$9)</f>
        <v/>
      </c>
      <c r="J362" s="17" t="str">
        <f aca="false">IF($D362="","",F362-I362)</f>
        <v/>
      </c>
      <c r="K362" s="17" t="str">
        <f aca="false">IF($D362="","",J362*Configuración!$C$4)</f>
        <v/>
      </c>
      <c r="L362" s="17" t="str">
        <f aca="false">IF($D362="","",J362*Configuración!$C$5)</f>
        <v/>
      </c>
    </row>
    <row r="363" customFormat="false" ht="15" hidden="false" customHeight="false" outlineLevel="0" collapsed="false">
      <c r="A363" s="15"/>
      <c r="B363" s="14"/>
      <c r="C363" s="14"/>
      <c r="D363" s="16"/>
      <c r="E363" s="14"/>
      <c r="F363" s="17" t="str">
        <f aca="false">IF($D363="","",IF(Configuración!$B$10="Sí",$D363/(1+Configuración!$B$8),$D363))</f>
        <v/>
      </c>
      <c r="G363" s="17" t="str">
        <f aca="false">IF($D363="","",F363*Configuración!$B$8)</f>
        <v/>
      </c>
      <c r="H363" s="17" t="str">
        <f aca="false">IF($D363="","",F363+G363)</f>
        <v/>
      </c>
      <c r="I363" s="17" t="str">
        <f aca="false">IF($D363="","",F363*Configuración!$B$9)</f>
        <v/>
      </c>
      <c r="J363" s="17" t="str">
        <f aca="false">IF($D363="","",F363-I363)</f>
        <v/>
      </c>
      <c r="K363" s="17" t="str">
        <f aca="false">IF($D363="","",J363*Configuración!$C$4)</f>
        <v/>
      </c>
      <c r="L363" s="17" t="str">
        <f aca="false">IF($D363="","",J363*Configuración!$C$5)</f>
        <v/>
      </c>
    </row>
    <row r="364" customFormat="false" ht="15" hidden="false" customHeight="false" outlineLevel="0" collapsed="false">
      <c r="A364" s="15"/>
      <c r="B364" s="14"/>
      <c r="C364" s="14"/>
      <c r="D364" s="16"/>
      <c r="E364" s="14"/>
      <c r="F364" s="17" t="str">
        <f aca="false">IF($D364="","",IF(Configuración!$B$10="Sí",$D364/(1+Configuración!$B$8),$D364))</f>
        <v/>
      </c>
      <c r="G364" s="17" t="str">
        <f aca="false">IF($D364="","",F364*Configuración!$B$8)</f>
        <v/>
      </c>
      <c r="H364" s="17" t="str">
        <f aca="false">IF($D364="","",F364+G364)</f>
        <v/>
      </c>
      <c r="I364" s="17" t="str">
        <f aca="false">IF($D364="","",F364*Configuración!$B$9)</f>
        <v/>
      </c>
      <c r="J364" s="17" t="str">
        <f aca="false">IF($D364="","",F364-I364)</f>
        <v/>
      </c>
      <c r="K364" s="17" t="str">
        <f aca="false">IF($D364="","",J364*Configuración!$C$4)</f>
        <v/>
      </c>
      <c r="L364" s="17" t="str">
        <f aca="false">IF($D364="","",J364*Configuración!$C$5)</f>
        <v/>
      </c>
    </row>
    <row r="365" customFormat="false" ht="15" hidden="false" customHeight="false" outlineLevel="0" collapsed="false">
      <c r="A365" s="15"/>
      <c r="B365" s="14"/>
      <c r="C365" s="14"/>
      <c r="D365" s="16"/>
      <c r="E365" s="14"/>
      <c r="F365" s="17" t="str">
        <f aca="false">IF($D365="","",IF(Configuración!$B$10="Sí",$D365/(1+Configuración!$B$8),$D365))</f>
        <v/>
      </c>
      <c r="G365" s="17" t="str">
        <f aca="false">IF($D365="","",F365*Configuración!$B$8)</f>
        <v/>
      </c>
      <c r="H365" s="17" t="str">
        <f aca="false">IF($D365="","",F365+G365)</f>
        <v/>
      </c>
      <c r="I365" s="17" t="str">
        <f aca="false">IF($D365="","",F365*Configuración!$B$9)</f>
        <v/>
      </c>
      <c r="J365" s="17" t="str">
        <f aca="false">IF($D365="","",F365-I365)</f>
        <v/>
      </c>
      <c r="K365" s="17" t="str">
        <f aca="false">IF($D365="","",J365*Configuración!$C$4)</f>
        <v/>
      </c>
      <c r="L365" s="17" t="str">
        <f aca="false">IF($D365="","",J365*Configuración!$C$5)</f>
        <v/>
      </c>
    </row>
    <row r="366" customFormat="false" ht="15" hidden="false" customHeight="false" outlineLevel="0" collapsed="false">
      <c r="A366" s="15"/>
      <c r="B366" s="14"/>
      <c r="C366" s="14"/>
      <c r="D366" s="16"/>
      <c r="E366" s="14"/>
      <c r="F366" s="17" t="str">
        <f aca="false">IF($D366="","",IF(Configuración!$B$10="Sí",$D366/(1+Configuración!$B$8),$D366))</f>
        <v/>
      </c>
      <c r="G366" s="17" t="str">
        <f aca="false">IF($D366="","",F366*Configuración!$B$8)</f>
        <v/>
      </c>
      <c r="H366" s="17" t="str">
        <f aca="false">IF($D366="","",F366+G366)</f>
        <v/>
      </c>
      <c r="I366" s="17" t="str">
        <f aca="false">IF($D366="","",F366*Configuración!$B$9)</f>
        <v/>
      </c>
      <c r="J366" s="17" t="str">
        <f aca="false">IF($D366="","",F366-I366)</f>
        <v/>
      </c>
      <c r="K366" s="17" t="str">
        <f aca="false">IF($D366="","",J366*Configuración!$C$4)</f>
        <v/>
      </c>
      <c r="L366" s="17" t="str">
        <f aca="false">IF($D366="","",J366*Configuración!$C$5)</f>
        <v/>
      </c>
    </row>
    <row r="367" customFormat="false" ht="15" hidden="false" customHeight="false" outlineLevel="0" collapsed="false">
      <c r="A367" s="15"/>
      <c r="B367" s="14"/>
      <c r="C367" s="14"/>
      <c r="D367" s="16"/>
      <c r="E367" s="14"/>
      <c r="F367" s="17" t="str">
        <f aca="false">IF($D367="","",IF(Configuración!$B$10="Sí",$D367/(1+Configuración!$B$8),$D367))</f>
        <v/>
      </c>
      <c r="G367" s="17" t="str">
        <f aca="false">IF($D367="","",F367*Configuración!$B$8)</f>
        <v/>
      </c>
      <c r="H367" s="17" t="str">
        <f aca="false">IF($D367="","",F367+G367)</f>
        <v/>
      </c>
      <c r="I367" s="17" t="str">
        <f aca="false">IF($D367="","",F367*Configuración!$B$9)</f>
        <v/>
      </c>
      <c r="J367" s="17" t="str">
        <f aca="false">IF($D367="","",F367-I367)</f>
        <v/>
      </c>
      <c r="K367" s="17" t="str">
        <f aca="false">IF($D367="","",J367*Configuración!$C$4)</f>
        <v/>
      </c>
      <c r="L367" s="17" t="str">
        <f aca="false">IF($D367="","",J367*Configuración!$C$5)</f>
        <v/>
      </c>
    </row>
    <row r="368" customFormat="false" ht="15" hidden="false" customHeight="false" outlineLevel="0" collapsed="false">
      <c r="A368" s="15"/>
      <c r="B368" s="14"/>
      <c r="C368" s="14"/>
      <c r="D368" s="16"/>
      <c r="E368" s="14"/>
      <c r="F368" s="17" t="str">
        <f aca="false">IF($D368="","",IF(Configuración!$B$10="Sí",$D368/(1+Configuración!$B$8),$D368))</f>
        <v/>
      </c>
      <c r="G368" s="17" t="str">
        <f aca="false">IF($D368="","",F368*Configuración!$B$8)</f>
        <v/>
      </c>
      <c r="H368" s="17" t="str">
        <f aca="false">IF($D368="","",F368+G368)</f>
        <v/>
      </c>
      <c r="I368" s="17" t="str">
        <f aca="false">IF($D368="","",F368*Configuración!$B$9)</f>
        <v/>
      </c>
      <c r="J368" s="17" t="str">
        <f aca="false">IF($D368="","",F368-I368)</f>
        <v/>
      </c>
      <c r="K368" s="17" t="str">
        <f aca="false">IF($D368="","",J368*Configuración!$C$4)</f>
        <v/>
      </c>
      <c r="L368" s="17" t="str">
        <f aca="false">IF($D368="","",J368*Configuración!$C$5)</f>
        <v/>
      </c>
    </row>
    <row r="369" customFormat="false" ht="15" hidden="false" customHeight="false" outlineLevel="0" collapsed="false">
      <c r="A369" s="15"/>
      <c r="B369" s="14"/>
      <c r="C369" s="14"/>
      <c r="D369" s="16"/>
      <c r="E369" s="14"/>
      <c r="F369" s="17" t="str">
        <f aca="false">IF($D369="","",IF(Configuración!$B$10="Sí",$D369/(1+Configuración!$B$8),$D369))</f>
        <v/>
      </c>
      <c r="G369" s="17" t="str">
        <f aca="false">IF($D369="","",F369*Configuración!$B$8)</f>
        <v/>
      </c>
      <c r="H369" s="17" t="str">
        <f aca="false">IF($D369="","",F369+G369)</f>
        <v/>
      </c>
      <c r="I369" s="17" t="str">
        <f aca="false">IF($D369="","",F369*Configuración!$B$9)</f>
        <v/>
      </c>
      <c r="J369" s="17" t="str">
        <f aca="false">IF($D369="","",F369-I369)</f>
        <v/>
      </c>
      <c r="K369" s="17" t="str">
        <f aca="false">IF($D369="","",J369*Configuración!$C$4)</f>
        <v/>
      </c>
      <c r="L369" s="17" t="str">
        <f aca="false">IF($D369="","",J369*Configuración!$C$5)</f>
        <v/>
      </c>
    </row>
    <row r="370" customFormat="false" ht="15" hidden="false" customHeight="false" outlineLevel="0" collapsed="false">
      <c r="A370" s="15"/>
      <c r="B370" s="14"/>
      <c r="C370" s="14"/>
      <c r="D370" s="16"/>
      <c r="E370" s="14"/>
      <c r="F370" s="17" t="str">
        <f aca="false">IF($D370="","",IF(Configuración!$B$10="Sí",$D370/(1+Configuración!$B$8),$D370))</f>
        <v/>
      </c>
      <c r="G370" s="17" t="str">
        <f aca="false">IF($D370="","",F370*Configuración!$B$8)</f>
        <v/>
      </c>
      <c r="H370" s="17" t="str">
        <f aca="false">IF($D370="","",F370+G370)</f>
        <v/>
      </c>
      <c r="I370" s="17" t="str">
        <f aca="false">IF($D370="","",F370*Configuración!$B$9)</f>
        <v/>
      </c>
      <c r="J370" s="17" t="str">
        <f aca="false">IF($D370="","",F370-I370)</f>
        <v/>
      </c>
      <c r="K370" s="17" t="str">
        <f aca="false">IF($D370="","",J370*Configuración!$C$4)</f>
        <v/>
      </c>
      <c r="L370" s="17" t="str">
        <f aca="false">IF($D370="","",J370*Configuración!$C$5)</f>
        <v/>
      </c>
    </row>
    <row r="371" customFormat="false" ht="15" hidden="false" customHeight="false" outlineLevel="0" collapsed="false">
      <c r="A371" s="15"/>
      <c r="B371" s="14"/>
      <c r="C371" s="14"/>
      <c r="D371" s="16"/>
      <c r="E371" s="14"/>
      <c r="F371" s="17" t="str">
        <f aca="false">IF($D371="","",IF(Configuración!$B$10="Sí",$D371/(1+Configuración!$B$8),$D371))</f>
        <v/>
      </c>
      <c r="G371" s="17" t="str">
        <f aca="false">IF($D371="","",F371*Configuración!$B$8)</f>
        <v/>
      </c>
      <c r="H371" s="17" t="str">
        <f aca="false">IF($D371="","",F371+G371)</f>
        <v/>
      </c>
      <c r="I371" s="17" t="str">
        <f aca="false">IF($D371="","",F371*Configuración!$B$9)</f>
        <v/>
      </c>
      <c r="J371" s="17" t="str">
        <f aca="false">IF($D371="","",F371-I371)</f>
        <v/>
      </c>
      <c r="K371" s="17" t="str">
        <f aca="false">IF($D371="","",J371*Configuración!$C$4)</f>
        <v/>
      </c>
      <c r="L371" s="17" t="str">
        <f aca="false">IF($D371="","",J371*Configuración!$C$5)</f>
        <v/>
      </c>
    </row>
    <row r="372" customFormat="false" ht="15" hidden="false" customHeight="false" outlineLevel="0" collapsed="false">
      <c r="A372" s="15"/>
      <c r="B372" s="14"/>
      <c r="C372" s="14"/>
      <c r="D372" s="16"/>
      <c r="E372" s="14"/>
      <c r="F372" s="17" t="str">
        <f aca="false">IF($D372="","",IF(Configuración!$B$10="Sí",$D372/(1+Configuración!$B$8),$D372))</f>
        <v/>
      </c>
      <c r="G372" s="17" t="str">
        <f aca="false">IF($D372="","",F372*Configuración!$B$8)</f>
        <v/>
      </c>
      <c r="H372" s="17" t="str">
        <f aca="false">IF($D372="","",F372+G372)</f>
        <v/>
      </c>
      <c r="I372" s="17" t="str">
        <f aca="false">IF($D372="","",F372*Configuración!$B$9)</f>
        <v/>
      </c>
      <c r="J372" s="17" t="str">
        <f aca="false">IF($D372="","",F372-I372)</f>
        <v/>
      </c>
      <c r="K372" s="17" t="str">
        <f aca="false">IF($D372="","",J372*Configuración!$C$4)</f>
        <v/>
      </c>
      <c r="L372" s="17" t="str">
        <f aca="false">IF($D372="","",J372*Configuración!$C$5)</f>
        <v/>
      </c>
    </row>
    <row r="373" customFormat="false" ht="15" hidden="false" customHeight="false" outlineLevel="0" collapsed="false">
      <c r="A373" s="15"/>
      <c r="B373" s="14"/>
      <c r="C373" s="14"/>
      <c r="D373" s="16"/>
      <c r="E373" s="14"/>
      <c r="F373" s="17" t="str">
        <f aca="false">IF($D373="","",IF(Configuración!$B$10="Sí",$D373/(1+Configuración!$B$8),$D373))</f>
        <v/>
      </c>
      <c r="G373" s="17" t="str">
        <f aca="false">IF($D373="","",F373*Configuración!$B$8)</f>
        <v/>
      </c>
      <c r="H373" s="17" t="str">
        <f aca="false">IF($D373="","",F373+G373)</f>
        <v/>
      </c>
      <c r="I373" s="17" t="str">
        <f aca="false">IF($D373="","",F373*Configuración!$B$9)</f>
        <v/>
      </c>
      <c r="J373" s="17" t="str">
        <f aca="false">IF($D373="","",F373-I373)</f>
        <v/>
      </c>
      <c r="K373" s="17" t="str">
        <f aca="false">IF($D373="","",J373*Configuración!$C$4)</f>
        <v/>
      </c>
      <c r="L373" s="17" t="str">
        <f aca="false">IF($D373="","",J373*Configuración!$C$5)</f>
        <v/>
      </c>
    </row>
    <row r="374" customFormat="false" ht="15" hidden="false" customHeight="false" outlineLevel="0" collapsed="false">
      <c r="A374" s="15"/>
      <c r="B374" s="14"/>
      <c r="C374" s="14"/>
      <c r="D374" s="16"/>
      <c r="E374" s="14"/>
      <c r="F374" s="17" t="str">
        <f aca="false">IF($D374="","",IF(Configuración!$B$10="Sí",$D374/(1+Configuración!$B$8),$D374))</f>
        <v/>
      </c>
      <c r="G374" s="17" t="str">
        <f aca="false">IF($D374="","",F374*Configuración!$B$8)</f>
        <v/>
      </c>
      <c r="H374" s="17" t="str">
        <f aca="false">IF($D374="","",F374+G374)</f>
        <v/>
      </c>
      <c r="I374" s="17" t="str">
        <f aca="false">IF($D374="","",F374*Configuración!$B$9)</f>
        <v/>
      </c>
      <c r="J374" s="17" t="str">
        <f aca="false">IF($D374="","",F374-I374)</f>
        <v/>
      </c>
      <c r="K374" s="17" t="str">
        <f aca="false">IF($D374="","",J374*Configuración!$C$4)</f>
        <v/>
      </c>
      <c r="L374" s="17" t="str">
        <f aca="false">IF($D374="","",J374*Configuración!$C$5)</f>
        <v/>
      </c>
    </row>
    <row r="375" customFormat="false" ht="15" hidden="false" customHeight="false" outlineLevel="0" collapsed="false">
      <c r="A375" s="15"/>
      <c r="B375" s="14"/>
      <c r="C375" s="14"/>
      <c r="D375" s="16"/>
      <c r="E375" s="14"/>
      <c r="F375" s="17" t="str">
        <f aca="false">IF($D375="","",IF(Configuración!$B$10="Sí",$D375/(1+Configuración!$B$8),$D375))</f>
        <v/>
      </c>
      <c r="G375" s="17" t="str">
        <f aca="false">IF($D375="","",F375*Configuración!$B$8)</f>
        <v/>
      </c>
      <c r="H375" s="17" t="str">
        <f aca="false">IF($D375="","",F375+G375)</f>
        <v/>
      </c>
      <c r="I375" s="17" t="str">
        <f aca="false">IF($D375="","",F375*Configuración!$B$9)</f>
        <v/>
      </c>
      <c r="J375" s="17" t="str">
        <f aca="false">IF($D375="","",F375-I375)</f>
        <v/>
      </c>
      <c r="K375" s="17" t="str">
        <f aca="false">IF($D375="","",J375*Configuración!$C$4)</f>
        <v/>
      </c>
      <c r="L375" s="17" t="str">
        <f aca="false">IF($D375="","",J375*Configuración!$C$5)</f>
        <v/>
      </c>
    </row>
    <row r="376" customFormat="false" ht="15" hidden="false" customHeight="false" outlineLevel="0" collapsed="false">
      <c r="A376" s="15"/>
      <c r="B376" s="14"/>
      <c r="C376" s="14"/>
      <c r="D376" s="16"/>
      <c r="E376" s="14"/>
      <c r="F376" s="17" t="str">
        <f aca="false">IF($D376="","",IF(Configuración!$B$10="Sí",$D376/(1+Configuración!$B$8),$D376))</f>
        <v/>
      </c>
      <c r="G376" s="17" t="str">
        <f aca="false">IF($D376="","",F376*Configuración!$B$8)</f>
        <v/>
      </c>
      <c r="H376" s="17" t="str">
        <f aca="false">IF($D376="","",F376+G376)</f>
        <v/>
      </c>
      <c r="I376" s="17" t="str">
        <f aca="false">IF($D376="","",F376*Configuración!$B$9)</f>
        <v/>
      </c>
      <c r="J376" s="17" t="str">
        <f aca="false">IF($D376="","",F376-I376)</f>
        <v/>
      </c>
      <c r="K376" s="17" t="str">
        <f aca="false">IF($D376="","",J376*Configuración!$C$4)</f>
        <v/>
      </c>
      <c r="L376" s="17" t="str">
        <f aca="false">IF($D376="","",J376*Configuración!$C$5)</f>
        <v/>
      </c>
    </row>
    <row r="377" customFormat="false" ht="15" hidden="false" customHeight="false" outlineLevel="0" collapsed="false">
      <c r="A377" s="15"/>
      <c r="B377" s="14"/>
      <c r="C377" s="14"/>
      <c r="D377" s="16"/>
      <c r="E377" s="14"/>
      <c r="F377" s="17" t="str">
        <f aca="false">IF($D377="","",IF(Configuración!$B$10="Sí",$D377/(1+Configuración!$B$8),$D377))</f>
        <v/>
      </c>
      <c r="G377" s="17" t="str">
        <f aca="false">IF($D377="","",F377*Configuración!$B$8)</f>
        <v/>
      </c>
      <c r="H377" s="17" t="str">
        <f aca="false">IF($D377="","",F377+G377)</f>
        <v/>
      </c>
      <c r="I377" s="17" t="str">
        <f aca="false">IF($D377="","",F377*Configuración!$B$9)</f>
        <v/>
      </c>
      <c r="J377" s="17" t="str">
        <f aca="false">IF($D377="","",F377-I377)</f>
        <v/>
      </c>
      <c r="K377" s="17" t="str">
        <f aca="false">IF($D377="","",J377*Configuración!$C$4)</f>
        <v/>
      </c>
      <c r="L377" s="17" t="str">
        <f aca="false">IF($D377="","",J377*Configuración!$C$5)</f>
        <v/>
      </c>
    </row>
    <row r="378" customFormat="false" ht="15" hidden="false" customHeight="false" outlineLevel="0" collapsed="false">
      <c r="A378" s="15"/>
      <c r="B378" s="14"/>
      <c r="C378" s="14"/>
      <c r="D378" s="16"/>
      <c r="E378" s="14"/>
      <c r="F378" s="17" t="str">
        <f aca="false">IF($D378="","",IF(Configuración!$B$10="Sí",$D378/(1+Configuración!$B$8),$D378))</f>
        <v/>
      </c>
      <c r="G378" s="17" t="str">
        <f aca="false">IF($D378="","",F378*Configuración!$B$8)</f>
        <v/>
      </c>
      <c r="H378" s="17" t="str">
        <f aca="false">IF($D378="","",F378+G378)</f>
        <v/>
      </c>
      <c r="I378" s="17" t="str">
        <f aca="false">IF($D378="","",F378*Configuración!$B$9)</f>
        <v/>
      </c>
      <c r="J378" s="17" t="str">
        <f aca="false">IF($D378="","",F378-I378)</f>
        <v/>
      </c>
      <c r="K378" s="17" t="str">
        <f aca="false">IF($D378="","",J378*Configuración!$C$4)</f>
        <v/>
      </c>
      <c r="L378" s="17" t="str">
        <f aca="false">IF($D378="","",J378*Configuración!$C$5)</f>
        <v/>
      </c>
    </row>
    <row r="379" customFormat="false" ht="15" hidden="false" customHeight="false" outlineLevel="0" collapsed="false">
      <c r="A379" s="15"/>
      <c r="B379" s="14"/>
      <c r="C379" s="14"/>
      <c r="D379" s="16"/>
      <c r="E379" s="14"/>
      <c r="F379" s="17" t="str">
        <f aca="false">IF($D379="","",IF(Configuración!$B$10="Sí",$D379/(1+Configuración!$B$8),$D379))</f>
        <v/>
      </c>
      <c r="G379" s="17" t="str">
        <f aca="false">IF($D379="","",F379*Configuración!$B$8)</f>
        <v/>
      </c>
      <c r="H379" s="17" t="str">
        <f aca="false">IF($D379="","",F379+G379)</f>
        <v/>
      </c>
      <c r="I379" s="17" t="str">
        <f aca="false">IF($D379="","",F379*Configuración!$B$9)</f>
        <v/>
      </c>
      <c r="J379" s="17" t="str">
        <f aca="false">IF($D379="","",F379-I379)</f>
        <v/>
      </c>
      <c r="K379" s="17" t="str">
        <f aca="false">IF($D379="","",J379*Configuración!$C$4)</f>
        <v/>
      </c>
      <c r="L379" s="17" t="str">
        <f aca="false">IF($D379="","",J379*Configuración!$C$5)</f>
        <v/>
      </c>
    </row>
    <row r="380" customFormat="false" ht="15" hidden="false" customHeight="false" outlineLevel="0" collapsed="false">
      <c r="A380" s="15"/>
      <c r="B380" s="14"/>
      <c r="C380" s="14"/>
      <c r="D380" s="16"/>
      <c r="E380" s="14"/>
      <c r="F380" s="17" t="str">
        <f aca="false">IF($D380="","",IF(Configuración!$B$10="Sí",$D380/(1+Configuración!$B$8),$D380))</f>
        <v/>
      </c>
      <c r="G380" s="17" t="str">
        <f aca="false">IF($D380="","",F380*Configuración!$B$8)</f>
        <v/>
      </c>
      <c r="H380" s="17" t="str">
        <f aca="false">IF($D380="","",F380+G380)</f>
        <v/>
      </c>
      <c r="I380" s="17" t="str">
        <f aca="false">IF($D380="","",F380*Configuración!$B$9)</f>
        <v/>
      </c>
      <c r="J380" s="17" t="str">
        <f aca="false">IF($D380="","",F380-I380)</f>
        <v/>
      </c>
      <c r="K380" s="17" t="str">
        <f aca="false">IF($D380="","",J380*Configuración!$C$4)</f>
        <v/>
      </c>
      <c r="L380" s="17" t="str">
        <f aca="false">IF($D380="","",J380*Configuración!$C$5)</f>
        <v/>
      </c>
    </row>
    <row r="381" customFormat="false" ht="15" hidden="false" customHeight="false" outlineLevel="0" collapsed="false">
      <c r="A381" s="15"/>
      <c r="B381" s="14"/>
      <c r="C381" s="14"/>
      <c r="D381" s="16"/>
      <c r="E381" s="14"/>
      <c r="F381" s="17" t="str">
        <f aca="false">IF($D381="","",IF(Configuración!$B$10="Sí",$D381/(1+Configuración!$B$8),$D381))</f>
        <v/>
      </c>
      <c r="G381" s="17" t="str">
        <f aca="false">IF($D381="","",F381*Configuración!$B$8)</f>
        <v/>
      </c>
      <c r="H381" s="17" t="str">
        <f aca="false">IF($D381="","",F381+G381)</f>
        <v/>
      </c>
      <c r="I381" s="17" t="str">
        <f aca="false">IF($D381="","",F381*Configuración!$B$9)</f>
        <v/>
      </c>
      <c r="J381" s="17" t="str">
        <f aca="false">IF($D381="","",F381-I381)</f>
        <v/>
      </c>
      <c r="K381" s="17" t="str">
        <f aca="false">IF($D381="","",J381*Configuración!$C$4)</f>
        <v/>
      </c>
      <c r="L381" s="17" t="str">
        <f aca="false">IF($D381="","",J381*Configuración!$C$5)</f>
        <v/>
      </c>
    </row>
    <row r="382" customFormat="false" ht="15" hidden="false" customHeight="false" outlineLevel="0" collapsed="false">
      <c r="A382" s="15"/>
      <c r="B382" s="14"/>
      <c r="C382" s="14"/>
      <c r="D382" s="16"/>
      <c r="E382" s="14"/>
      <c r="F382" s="17" t="str">
        <f aca="false">IF($D382="","",IF(Configuración!$B$10="Sí",$D382/(1+Configuración!$B$8),$D382))</f>
        <v/>
      </c>
      <c r="G382" s="17" t="str">
        <f aca="false">IF($D382="","",F382*Configuración!$B$8)</f>
        <v/>
      </c>
      <c r="H382" s="17" t="str">
        <f aca="false">IF($D382="","",F382+G382)</f>
        <v/>
      </c>
      <c r="I382" s="17" t="str">
        <f aca="false">IF($D382="","",F382*Configuración!$B$9)</f>
        <v/>
      </c>
      <c r="J382" s="17" t="str">
        <f aca="false">IF($D382="","",F382-I382)</f>
        <v/>
      </c>
      <c r="K382" s="17" t="str">
        <f aca="false">IF($D382="","",J382*Configuración!$C$4)</f>
        <v/>
      </c>
      <c r="L382" s="17" t="str">
        <f aca="false">IF($D382="","",J382*Configuración!$C$5)</f>
        <v/>
      </c>
    </row>
    <row r="383" customFormat="false" ht="15" hidden="false" customHeight="false" outlineLevel="0" collapsed="false">
      <c r="A383" s="15"/>
      <c r="B383" s="14"/>
      <c r="C383" s="14"/>
      <c r="D383" s="16"/>
      <c r="E383" s="14"/>
      <c r="F383" s="17" t="str">
        <f aca="false">IF($D383="","",IF(Configuración!$B$10="Sí",$D383/(1+Configuración!$B$8),$D383))</f>
        <v/>
      </c>
      <c r="G383" s="17" t="str">
        <f aca="false">IF($D383="","",F383*Configuración!$B$8)</f>
        <v/>
      </c>
      <c r="H383" s="17" t="str">
        <f aca="false">IF($D383="","",F383+G383)</f>
        <v/>
      </c>
      <c r="I383" s="17" t="str">
        <f aca="false">IF($D383="","",F383*Configuración!$B$9)</f>
        <v/>
      </c>
      <c r="J383" s="17" t="str">
        <f aca="false">IF($D383="","",F383-I383)</f>
        <v/>
      </c>
      <c r="K383" s="17" t="str">
        <f aca="false">IF($D383="","",J383*Configuración!$C$4)</f>
        <v/>
      </c>
      <c r="L383" s="17" t="str">
        <f aca="false">IF($D383="","",J383*Configuración!$C$5)</f>
        <v/>
      </c>
    </row>
    <row r="384" customFormat="false" ht="15" hidden="false" customHeight="false" outlineLevel="0" collapsed="false">
      <c r="A384" s="15"/>
      <c r="B384" s="14"/>
      <c r="C384" s="14"/>
      <c r="D384" s="16"/>
      <c r="E384" s="14"/>
      <c r="F384" s="17" t="str">
        <f aca="false">IF($D384="","",IF(Configuración!$B$10="Sí",$D384/(1+Configuración!$B$8),$D384))</f>
        <v/>
      </c>
      <c r="G384" s="17" t="str">
        <f aca="false">IF($D384="","",F384*Configuración!$B$8)</f>
        <v/>
      </c>
      <c r="H384" s="17" t="str">
        <f aca="false">IF($D384="","",F384+G384)</f>
        <v/>
      </c>
      <c r="I384" s="17" t="str">
        <f aca="false">IF($D384="","",F384*Configuración!$B$9)</f>
        <v/>
      </c>
      <c r="J384" s="17" t="str">
        <f aca="false">IF($D384="","",F384-I384)</f>
        <v/>
      </c>
      <c r="K384" s="17" t="str">
        <f aca="false">IF($D384="","",J384*Configuración!$C$4)</f>
        <v/>
      </c>
      <c r="L384" s="17" t="str">
        <f aca="false">IF($D384="","",J384*Configuración!$C$5)</f>
        <v/>
      </c>
    </row>
    <row r="385" customFormat="false" ht="15" hidden="false" customHeight="false" outlineLevel="0" collapsed="false">
      <c r="A385" s="15"/>
      <c r="B385" s="14"/>
      <c r="C385" s="14"/>
      <c r="D385" s="16"/>
      <c r="E385" s="14"/>
      <c r="F385" s="17" t="str">
        <f aca="false">IF($D385="","",IF(Configuración!$B$10="Sí",$D385/(1+Configuración!$B$8),$D385))</f>
        <v/>
      </c>
      <c r="G385" s="17" t="str">
        <f aca="false">IF($D385="","",F385*Configuración!$B$8)</f>
        <v/>
      </c>
      <c r="H385" s="17" t="str">
        <f aca="false">IF($D385="","",F385+G385)</f>
        <v/>
      </c>
      <c r="I385" s="17" t="str">
        <f aca="false">IF($D385="","",F385*Configuración!$B$9)</f>
        <v/>
      </c>
      <c r="J385" s="17" t="str">
        <f aca="false">IF($D385="","",F385-I385)</f>
        <v/>
      </c>
      <c r="K385" s="17" t="str">
        <f aca="false">IF($D385="","",J385*Configuración!$C$4)</f>
        <v/>
      </c>
      <c r="L385" s="17" t="str">
        <f aca="false">IF($D385="","",J385*Configuración!$C$5)</f>
        <v/>
      </c>
    </row>
    <row r="386" customFormat="false" ht="15" hidden="false" customHeight="false" outlineLevel="0" collapsed="false">
      <c r="A386" s="15"/>
      <c r="B386" s="14"/>
      <c r="C386" s="14"/>
      <c r="D386" s="16"/>
      <c r="E386" s="14"/>
      <c r="F386" s="17" t="str">
        <f aca="false">IF($D386="","",IF(Configuración!$B$10="Sí",$D386/(1+Configuración!$B$8),$D386))</f>
        <v/>
      </c>
      <c r="G386" s="17" t="str">
        <f aca="false">IF($D386="","",F386*Configuración!$B$8)</f>
        <v/>
      </c>
      <c r="H386" s="17" t="str">
        <f aca="false">IF($D386="","",F386+G386)</f>
        <v/>
      </c>
      <c r="I386" s="17" t="str">
        <f aca="false">IF($D386="","",F386*Configuración!$B$9)</f>
        <v/>
      </c>
      <c r="J386" s="17" t="str">
        <f aca="false">IF($D386="","",F386-I386)</f>
        <v/>
      </c>
      <c r="K386" s="17" t="str">
        <f aca="false">IF($D386="","",J386*Configuración!$C$4)</f>
        <v/>
      </c>
      <c r="L386" s="17" t="str">
        <f aca="false">IF($D386="","",J386*Configuración!$C$5)</f>
        <v/>
      </c>
    </row>
    <row r="387" customFormat="false" ht="15" hidden="false" customHeight="false" outlineLevel="0" collapsed="false">
      <c r="A387" s="15"/>
      <c r="B387" s="14"/>
      <c r="C387" s="14"/>
      <c r="D387" s="16"/>
      <c r="E387" s="14"/>
      <c r="F387" s="17" t="str">
        <f aca="false">IF($D387="","",IF(Configuración!$B$10="Sí",$D387/(1+Configuración!$B$8),$D387))</f>
        <v/>
      </c>
      <c r="G387" s="17" t="str">
        <f aca="false">IF($D387="","",F387*Configuración!$B$8)</f>
        <v/>
      </c>
      <c r="H387" s="17" t="str">
        <f aca="false">IF($D387="","",F387+G387)</f>
        <v/>
      </c>
      <c r="I387" s="17" t="str">
        <f aca="false">IF($D387="","",F387*Configuración!$B$9)</f>
        <v/>
      </c>
      <c r="J387" s="17" t="str">
        <f aca="false">IF($D387="","",F387-I387)</f>
        <v/>
      </c>
      <c r="K387" s="17" t="str">
        <f aca="false">IF($D387="","",J387*Configuración!$C$4)</f>
        <v/>
      </c>
      <c r="L387" s="17" t="str">
        <f aca="false">IF($D387="","",J387*Configuración!$C$5)</f>
        <v/>
      </c>
    </row>
    <row r="388" customFormat="false" ht="15" hidden="false" customHeight="false" outlineLevel="0" collapsed="false">
      <c r="A388" s="15"/>
      <c r="B388" s="14"/>
      <c r="C388" s="14"/>
      <c r="D388" s="16"/>
      <c r="E388" s="14"/>
      <c r="F388" s="17" t="str">
        <f aca="false">IF($D388="","",IF(Configuración!$B$10="Sí",$D388/(1+Configuración!$B$8),$D388))</f>
        <v/>
      </c>
      <c r="G388" s="17" t="str">
        <f aca="false">IF($D388="","",F388*Configuración!$B$8)</f>
        <v/>
      </c>
      <c r="H388" s="17" t="str">
        <f aca="false">IF($D388="","",F388+G388)</f>
        <v/>
      </c>
      <c r="I388" s="17" t="str">
        <f aca="false">IF($D388="","",F388*Configuración!$B$9)</f>
        <v/>
      </c>
      <c r="J388" s="17" t="str">
        <f aca="false">IF($D388="","",F388-I388)</f>
        <v/>
      </c>
      <c r="K388" s="17" t="str">
        <f aca="false">IF($D388="","",J388*Configuración!$C$4)</f>
        <v/>
      </c>
      <c r="L388" s="17" t="str">
        <f aca="false">IF($D388="","",J388*Configuración!$C$5)</f>
        <v/>
      </c>
    </row>
    <row r="389" customFormat="false" ht="15" hidden="false" customHeight="false" outlineLevel="0" collapsed="false">
      <c r="A389" s="15"/>
      <c r="B389" s="14"/>
      <c r="C389" s="14"/>
      <c r="D389" s="16"/>
      <c r="E389" s="14"/>
      <c r="F389" s="17" t="str">
        <f aca="false">IF($D389="","",IF(Configuración!$B$10="Sí",$D389/(1+Configuración!$B$8),$D389))</f>
        <v/>
      </c>
      <c r="G389" s="17" t="str">
        <f aca="false">IF($D389="","",F389*Configuración!$B$8)</f>
        <v/>
      </c>
      <c r="H389" s="17" t="str">
        <f aca="false">IF($D389="","",F389+G389)</f>
        <v/>
      </c>
      <c r="I389" s="17" t="str">
        <f aca="false">IF($D389="","",F389*Configuración!$B$9)</f>
        <v/>
      </c>
      <c r="J389" s="17" t="str">
        <f aca="false">IF($D389="","",F389-I389)</f>
        <v/>
      </c>
      <c r="K389" s="17" t="str">
        <f aca="false">IF($D389="","",J389*Configuración!$C$4)</f>
        <v/>
      </c>
      <c r="L389" s="17" t="str">
        <f aca="false">IF($D389="","",J389*Configuración!$C$5)</f>
        <v/>
      </c>
    </row>
    <row r="390" customFormat="false" ht="15" hidden="false" customHeight="false" outlineLevel="0" collapsed="false">
      <c r="A390" s="15"/>
      <c r="B390" s="14"/>
      <c r="C390" s="14"/>
      <c r="D390" s="16"/>
      <c r="E390" s="14"/>
      <c r="F390" s="17" t="str">
        <f aca="false">IF($D390="","",IF(Configuración!$B$10="Sí",$D390/(1+Configuración!$B$8),$D390))</f>
        <v/>
      </c>
      <c r="G390" s="17" t="str">
        <f aca="false">IF($D390="","",F390*Configuración!$B$8)</f>
        <v/>
      </c>
      <c r="H390" s="17" t="str">
        <f aca="false">IF($D390="","",F390+G390)</f>
        <v/>
      </c>
      <c r="I390" s="17" t="str">
        <f aca="false">IF($D390="","",F390*Configuración!$B$9)</f>
        <v/>
      </c>
      <c r="J390" s="17" t="str">
        <f aca="false">IF($D390="","",F390-I390)</f>
        <v/>
      </c>
      <c r="K390" s="17" t="str">
        <f aca="false">IF($D390="","",J390*Configuración!$C$4)</f>
        <v/>
      </c>
      <c r="L390" s="17" t="str">
        <f aca="false">IF($D390="","",J390*Configuración!$C$5)</f>
        <v/>
      </c>
    </row>
    <row r="391" customFormat="false" ht="15" hidden="false" customHeight="false" outlineLevel="0" collapsed="false">
      <c r="A391" s="15"/>
      <c r="B391" s="14"/>
      <c r="C391" s="14"/>
      <c r="D391" s="16"/>
      <c r="E391" s="14"/>
      <c r="F391" s="17" t="str">
        <f aca="false">IF($D391="","",IF(Configuración!$B$10="Sí",$D391/(1+Configuración!$B$8),$D391))</f>
        <v/>
      </c>
      <c r="G391" s="17" t="str">
        <f aca="false">IF($D391="","",F391*Configuración!$B$8)</f>
        <v/>
      </c>
      <c r="H391" s="17" t="str">
        <f aca="false">IF($D391="","",F391+G391)</f>
        <v/>
      </c>
      <c r="I391" s="17" t="str">
        <f aca="false">IF($D391="","",F391*Configuración!$B$9)</f>
        <v/>
      </c>
      <c r="J391" s="17" t="str">
        <f aca="false">IF($D391="","",F391-I391)</f>
        <v/>
      </c>
      <c r="K391" s="17" t="str">
        <f aca="false">IF($D391="","",J391*Configuración!$C$4)</f>
        <v/>
      </c>
      <c r="L391" s="17" t="str">
        <f aca="false">IF($D391="","",J391*Configuración!$C$5)</f>
        <v/>
      </c>
    </row>
    <row r="392" customFormat="false" ht="15" hidden="false" customHeight="false" outlineLevel="0" collapsed="false">
      <c r="A392" s="15"/>
      <c r="B392" s="14"/>
      <c r="C392" s="14"/>
      <c r="D392" s="16"/>
      <c r="E392" s="14"/>
      <c r="F392" s="17" t="str">
        <f aca="false">IF($D392="","",IF(Configuración!$B$10="Sí",$D392/(1+Configuración!$B$8),$D392))</f>
        <v/>
      </c>
      <c r="G392" s="17" t="str">
        <f aca="false">IF($D392="","",F392*Configuración!$B$8)</f>
        <v/>
      </c>
      <c r="H392" s="17" t="str">
        <f aca="false">IF($D392="","",F392+G392)</f>
        <v/>
      </c>
      <c r="I392" s="17" t="str">
        <f aca="false">IF($D392="","",F392*Configuración!$B$9)</f>
        <v/>
      </c>
      <c r="J392" s="17" t="str">
        <f aca="false">IF($D392="","",F392-I392)</f>
        <v/>
      </c>
      <c r="K392" s="17" t="str">
        <f aca="false">IF($D392="","",J392*Configuración!$C$4)</f>
        <v/>
      </c>
      <c r="L392" s="17" t="str">
        <f aca="false">IF($D392="","",J392*Configuración!$C$5)</f>
        <v/>
      </c>
    </row>
    <row r="393" customFormat="false" ht="15" hidden="false" customHeight="false" outlineLevel="0" collapsed="false">
      <c r="A393" s="15"/>
      <c r="B393" s="14"/>
      <c r="C393" s="14"/>
      <c r="D393" s="16"/>
      <c r="E393" s="14"/>
      <c r="F393" s="17" t="str">
        <f aca="false">IF($D393="","",IF(Configuración!$B$10="Sí",$D393/(1+Configuración!$B$8),$D393))</f>
        <v/>
      </c>
      <c r="G393" s="17" t="str">
        <f aca="false">IF($D393="","",F393*Configuración!$B$8)</f>
        <v/>
      </c>
      <c r="H393" s="17" t="str">
        <f aca="false">IF($D393="","",F393+G393)</f>
        <v/>
      </c>
      <c r="I393" s="17" t="str">
        <f aca="false">IF($D393="","",F393*Configuración!$B$9)</f>
        <v/>
      </c>
      <c r="J393" s="17" t="str">
        <f aca="false">IF($D393="","",F393-I393)</f>
        <v/>
      </c>
      <c r="K393" s="17" t="str">
        <f aca="false">IF($D393="","",J393*Configuración!$C$4)</f>
        <v/>
      </c>
      <c r="L393" s="17" t="str">
        <f aca="false">IF($D393="","",J393*Configuración!$C$5)</f>
        <v/>
      </c>
    </row>
    <row r="394" customFormat="false" ht="15" hidden="false" customHeight="false" outlineLevel="0" collapsed="false">
      <c r="A394" s="15"/>
      <c r="B394" s="14"/>
      <c r="C394" s="14"/>
      <c r="D394" s="16"/>
      <c r="E394" s="14"/>
      <c r="F394" s="17" t="str">
        <f aca="false">IF($D394="","",IF(Configuración!$B$10="Sí",$D394/(1+Configuración!$B$8),$D394))</f>
        <v/>
      </c>
      <c r="G394" s="17" t="str">
        <f aca="false">IF($D394="","",F394*Configuración!$B$8)</f>
        <v/>
      </c>
      <c r="H394" s="17" t="str">
        <f aca="false">IF($D394="","",F394+G394)</f>
        <v/>
      </c>
      <c r="I394" s="17" t="str">
        <f aca="false">IF($D394="","",F394*Configuración!$B$9)</f>
        <v/>
      </c>
      <c r="J394" s="17" t="str">
        <f aca="false">IF($D394="","",F394-I394)</f>
        <v/>
      </c>
      <c r="K394" s="17" t="str">
        <f aca="false">IF($D394="","",J394*Configuración!$C$4)</f>
        <v/>
      </c>
      <c r="L394" s="17" t="str">
        <f aca="false">IF($D394="","",J394*Configuración!$C$5)</f>
        <v/>
      </c>
    </row>
    <row r="395" customFormat="false" ht="15" hidden="false" customHeight="false" outlineLevel="0" collapsed="false">
      <c r="A395" s="15"/>
      <c r="B395" s="14"/>
      <c r="C395" s="14"/>
      <c r="D395" s="16"/>
      <c r="E395" s="14"/>
      <c r="F395" s="17" t="str">
        <f aca="false">IF($D395="","",IF(Configuración!$B$10="Sí",$D395/(1+Configuración!$B$8),$D395))</f>
        <v/>
      </c>
      <c r="G395" s="17" t="str">
        <f aca="false">IF($D395="","",F395*Configuración!$B$8)</f>
        <v/>
      </c>
      <c r="H395" s="17" t="str">
        <f aca="false">IF($D395="","",F395+G395)</f>
        <v/>
      </c>
      <c r="I395" s="17" t="str">
        <f aca="false">IF($D395="","",F395*Configuración!$B$9)</f>
        <v/>
      </c>
      <c r="J395" s="17" t="str">
        <f aca="false">IF($D395="","",F395-I395)</f>
        <v/>
      </c>
      <c r="K395" s="17" t="str">
        <f aca="false">IF($D395="","",J395*Configuración!$C$4)</f>
        <v/>
      </c>
      <c r="L395" s="17" t="str">
        <f aca="false">IF($D395="","",J395*Configuración!$C$5)</f>
        <v/>
      </c>
    </row>
    <row r="396" customFormat="false" ht="15" hidden="false" customHeight="false" outlineLevel="0" collapsed="false">
      <c r="A396" s="15"/>
      <c r="B396" s="14"/>
      <c r="C396" s="14"/>
      <c r="D396" s="16"/>
      <c r="E396" s="14"/>
      <c r="F396" s="17" t="str">
        <f aca="false">IF($D396="","",IF(Configuración!$B$10="Sí",$D396/(1+Configuración!$B$8),$D396))</f>
        <v/>
      </c>
      <c r="G396" s="17" t="str">
        <f aca="false">IF($D396="","",F396*Configuración!$B$8)</f>
        <v/>
      </c>
      <c r="H396" s="17" t="str">
        <f aca="false">IF($D396="","",F396+G396)</f>
        <v/>
      </c>
      <c r="I396" s="17" t="str">
        <f aca="false">IF($D396="","",F396*Configuración!$B$9)</f>
        <v/>
      </c>
      <c r="J396" s="17" t="str">
        <f aca="false">IF($D396="","",F396-I396)</f>
        <v/>
      </c>
      <c r="K396" s="17" t="str">
        <f aca="false">IF($D396="","",J396*Configuración!$C$4)</f>
        <v/>
      </c>
      <c r="L396" s="17" t="str">
        <f aca="false">IF($D396="","",J396*Configuración!$C$5)</f>
        <v/>
      </c>
    </row>
    <row r="397" customFormat="false" ht="15" hidden="false" customHeight="false" outlineLevel="0" collapsed="false">
      <c r="A397" s="15"/>
      <c r="B397" s="14"/>
      <c r="C397" s="14"/>
      <c r="D397" s="16"/>
      <c r="E397" s="14"/>
      <c r="F397" s="17" t="str">
        <f aca="false">IF($D397="","",IF(Configuración!$B$10="Sí",$D397/(1+Configuración!$B$8),$D397))</f>
        <v/>
      </c>
      <c r="G397" s="17" t="str">
        <f aca="false">IF($D397="","",F397*Configuración!$B$8)</f>
        <v/>
      </c>
      <c r="H397" s="17" t="str">
        <f aca="false">IF($D397="","",F397+G397)</f>
        <v/>
      </c>
      <c r="I397" s="17" t="str">
        <f aca="false">IF($D397="","",F397*Configuración!$B$9)</f>
        <v/>
      </c>
      <c r="J397" s="17" t="str">
        <f aca="false">IF($D397="","",F397-I397)</f>
        <v/>
      </c>
      <c r="K397" s="17" t="str">
        <f aca="false">IF($D397="","",J397*Configuración!$C$4)</f>
        <v/>
      </c>
      <c r="L397" s="17" t="str">
        <f aca="false">IF($D397="","",J397*Configuración!$C$5)</f>
        <v/>
      </c>
    </row>
    <row r="398" customFormat="false" ht="15" hidden="false" customHeight="false" outlineLevel="0" collapsed="false">
      <c r="A398" s="15"/>
      <c r="B398" s="14"/>
      <c r="C398" s="14"/>
      <c r="D398" s="16"/>
      <c r="E398" s="14"/>
      <c r="F398" s="17" t="str">
        <f aca="false">IF($D398="","",IF(Configuración!$B$10="Sí",$D398/(1+Configuración!$B$8),$D398))</f>
        <v/>
      </c>
      <c r="G398" s="17" t="str">
        <f aca="false">IF($D398="","",F398*Configuración!$B$8)</f>
        <v/>
      </c>
      <c r="H398" s="17" t="str">
        <f aca="false">IF($D398="","",F398+G398)</f>
        <v/>
      </c>
      <c r="I398" s="17" t="str">
        <f aca="false">IF($D398="","",F398*Configuración!$B$9)</f>
        <v/>
      </c>
      <c r="J398" s="17" t="str">
        <f aca="false">IF($D398="","",F398-I398)</f>
        <v/>
      </c>
      <c r="K398" s="17" t="str">
        <f aca="false">IF($D398="","",J398*Configuración!$C$4)</f>
        <v/>
      </c>
      <c r="L398" s="17" t="str">
        <f aca="false">IF($D398="","",J398*Configuración!$C$5)</f>
        <v/>
      </c>
    </row>
    <row r="399" customFormat="false" ht="15" hidden="false" customHeight="false" outlineLevel="0" collapsed="false">
      <c r="A399" s="15"/>
      <c r="B399" s="14"/>
      <c r="C399" s="14"/>
      <c r="D399" s="16"/>
      <c r="E399" s="14"/>
      <c r="F399" s="17" t="str">
        <f aca="false">IF($D399="","",IF(Configuración!$B$10="Sí",$D399/(1+Configuración!$B$8),$D399))</f>
        <v/>
      </c>
      <c r="G399" s="17" t="str">
        <f aca="false">IF($D399="","",F399*Configuración!$B$8)</f>
        <v/>
      </c>
      <c r="H399" s="17" t="str">
        <f aca="false">IF($D399="","",F399+G399)</f>
        <v/>
      </c>
      <c r="I399" s="17" t="str">
        <f aca="false">IF($D399="","",F399*Configuración!$B$9)</f>
        <v/>
      </c>
      <c r="J399" s="17" t="str">
        <f aca="false">IF($D399="","",F399-I399)</f>
        <v/>
      </c>
      <c r="K399" s="17" t="str">
        <f aca="false">IF($D399="","",J399*Configuración!$C$4)</f>
        <v/>
      </c>
      <c r="L399" s="17" t="str">
        <f aca="false">IF($D399="","",J399*Configuración!$C$5)</f>
        <v/>
      </c>
    </row>
    <row r="400" customFormat="false" ht="15" hidden="false" customHeight="false" outlineLevel="0" collapsed="false">
      <c r="A400" s="15"/>
      <c r="B400" s="14"/>
      <c r="C400" s="14"/>
      <c r="D400" s="16"/>
      <c r="E400" s="14"/>
      <c r="F400" s="17" t="str">
        <f aca="false">IF($D400="","",IF(Configuración!$B$10="Sí",$D400/(1+Configuración!$B$8),$D400))</f>
        <v/>
      </c>
      <c r="G400" s="17" t="str">
        <f aca="false">IF($D400="","",F400*Configuración!$B$8)</f>
        <v/>
      </c>
      <c r="H400" s="17" t="str">
        <f aca="false">IF($D400="","",F400+G400)</f>
        <v/>
      </c>
      <c r="I400" s="17" t="str">
        <f aca="false">IF($D400="","",F400*Configuración!$B$9)</f>
        <v/>
      </c>
      <c r="J400" s="17" t="str">
        <f aca="false">IF($D400="","",F400-I400)</f>
        <v/>
      </c>
      <c r="K400" s="17" t="str">
        <f aca="false">IF($D400="","",J400*Configuración!$C$4)</f>
        <v/>
      </c>
      <c r="L400" s="17" t="str">
        <f aca="false">IF($D400="","",J400*Configuración!$C$5)</f>
        <v/>
      </c>
    </row>
    <row r="401" customFormat="false" ht="15" hidden="false" customHeight="false" outlineLevel="0" collapsed="false">
      <c r="A401" s="15"/>
      <c r="B401" s="14"/>
      <c r="C401" s="14"/>
      <c r="D401" s="16"/>
      <c r="E401" s="14"/>
      <c r="F401" s="17" t="str">
        <f aca="false">IF($D401="","",IF(Configuración!$B$10="Sí",$D401/(1+Configuración!$B$8),$D401))</f>
        <v/>
      </c>
      <c r="G401" s="17" t="str">
        <f aca="false">IF($D401="","",F401*Configuración!$B$8)</f>
        <v/>
      </c>
      <c r="H401" s="17" t="str">
        <f aca="false">IF($D401="","",F401+G401)</f>
        <v/>
      </c>
      <c r="I401" s="17" t="str">
        <f aca="false">IF($D401="","",F401*Configuración!$B$9)</f>
        <v/>
      </c>
      <c r="J401" s="17" t="str">
        <f aca="false">IF($D401="","",F401-I401)</f>
        <v/>
      </c>
      <c r="K401" s="17" t="str">
        <f aca="false">IF($D401="","",J401*Configuración!$C$4)</f>
        <v/>
      </c>
      <c r="L401" s="17" t="str">
        <f aca="false">IF($D401="","",J401*Configuración!$C$5)</f>
        <v/>
      </c>
    </row>
    <row r="402" customFormat="false" ht="15" hidden="false" customHeight="false" outlineLevel="0" collapsed="false">
      <c r="A402" s="15"/>
      <c r="B402" s="14"/>
      <c r="C402" s="14"/>
      <c r="D402" s="16"/>
      <c r="E402" s="14"/>
      <c r="F402" s="17" t="str">
        <f aca="false">IF($D402="","",IF(Configuración!$B$10="Sí",$D402/(1+Configuración!$B$8),$D402))</f>
        <v/>
      </c>
      <c r="G402" s="17" t="str">
        <f aca="false">IF($D402="","",F402*Configuración!$B$8)</f>
        <v/>
      </c>
      <c r="H402" s="17" t="str">
        <f aca="false">IF($D402="","",F402+G402)</f>
        <v/>
      </c>
      <c r="I402" s="17" t="str">
        <f aca="false">IF($D402="","",F402*Configuración!$B$9)</f>
        <v/>
      </c>
      <c r="J402" s="17" t="str">
        <f aca="false">IF($D402="","",F402-I402)</f>
        <v/>
      </c>
      <c r="K402" s="17" t="str">
        <f aca="false">IF($D402="","",J402*Configuración!$C$4)</f>
        <v/>
      </c>
      <c r="L402" s="17" t="str">
        <f aca="false">IF($D402="","",J402*Configuración!$C$5)</f>
        <v/>
      </c>
    </row>
    <row r="403" customFormat="false" ht="15" hidden="false" customHeight="false" outlineLevel="0" collapsed="false">
      <c r="A403" s="15"/>
      <c r="B403" s="14"/>
      <c r="C403" s="14"/>
      <c r="D403" s="16"/>
      <c r="E403" s="14"/>
      <c r="F403" s="17" t="str">
        <f aca="false">IF($D403="","",IF(Configuración!$B$10="Sí",$D403/(1+Configuración!$B$8),$D403))</f>
        <v/>
      </c>
      <c r="G403" s="17" t="str">
        <f aca="false">IF($D403="","",F403*Configuración!$B$8)</f>
        <v/>
      </c>
      <c r="H403" s="17" t="str">
        <f aca="false">IF($D403="","",F403+G403)</f>
        <v/>
      </c>
      <c r="I403" s="17" t="str">
        <f aca="false">IF($D403="","",F403*Configuración!$B$9)</f>
        <v/>
      </c>
      <c r="J403" s="17" t="str">
        <f aca="false">IF($D403="","",F403-I403)</f>
        <v/>
      </c>
      <c r="K403" s="17" t="str">
        <f aca="false">IF($D403="","",J403*Configuración!$C$4)</f>
        <v/>
      </c>
      <c r="L403" s="17" t="str">
        <f aca="false">IF($D403="","",J403*Configuración!$C$5)</f>
        <v/>
      </c>
    </row>
    <row r="404" customFormat="false" ht="15" hidden="false" customHeight="false" outlineLevel="0" collapsed="false">
      <c r="A404" s="15"/>
      <c r="B404" s="14"/>
      <c r="C404" s="14"/>
      <c r="D404" s="16"/>
      <c r="E404" s="14"/>
      <c r="F404" s="17" t="str">
        <f aca="false">IF($D404="","",IF(Configuración!$B$10="Sí",$D404/(1+Configuración!$B$8),$D404))</f>
        <v/>
      </c>
      <c r="G404" s="17" t="str">
        <f aca="false">IF($D404="","",F404*Configuración!$B$8)</f>
        <v/>
      </c>
      <c r="H404" s="17" t="str">
        <f aca="false">IF($D404="","",F404+G404)</f>
        <v/>
      </c>
      <c r="I404" s="17" t="str">
        <f aca="false">IF($D404="","",F404*Configuración!$B$9)</f>
        <v/>
      </c>
      <c r="J404" s="17" t="str">
        <f aca="false">IF($D404="","",F404-I404)</f>
        <v/>
      </c>
      <c r="K404" s="17" t="str">
        <f aca="false">IF($D404="","",J404*Configuración!$C$4)</f>
        <v/>
      </c>
      <c r="L404" s="17" t="str">
        <f aca="false">IF($D404="","",J404*Configuración!$C$5)</f>
        <v/>
      </c>
    </row>
    <row r="405" customFormat="false" ht="15" hidden="false" customHeight="false" outlineLevel="0" collapsed="false">
      <c r="A405" s="15"/>
      <c r="B405" s="14"/>
      <c r="C405" s="14"/>
      <c r="D405" s="16"/>
      <c r="E405" s="14"/>
      <c r="F405" s="17" t="str">
        <f aca="false">IF($D405="","",IF(Configuración!$B$10="Sí",$D405/(1+Configuración!$B$8),$D405))</f>
        <v/>
      </c>
      <c r="G405" s="17" t="str">
        <f aca="false">IF($D405="","",F405*Configuración!$B$8)</f>
        <v/>
      </c>
      <c r="H405" s="17" t="str">
        <f aca="false">IF($D405="","",F405+G405)</f>
        <v/>
      </c>
      <c r="I405" s="17" t="str">
        <f aca="false">IF($D405="","",F405*Configuración!$B$9)</f>
        <v/>
      </c>
      <c r="J405" s="17" t="str">
        <f aca="false">IF($D405="","",F405-I405)</f>
        <v/>
      </c>
      <c r="K405" s="17" t="str">
        <f aca="false">IF($D405="","",J405*Configuración!$C$4)</f>
        <v/>
      </c>
      <c r="L405" s="17" t="str">
        <f aca="false">IF($D405="","",J405*Configuración!$C$5)</f>
        <v/>
      </c>
    </row>
    <row r="406" customFormat="false" ht="15" hidden="false" customHeight="false" outlineLevel="0" collapsed="false">
      <c r="A406" s="15"/>
      <c r="B406" s="14"/>
      <c r="C406" s="14"/>
      <c r="D406" s="16"/>
      <c r="E406" s="14"/>
      <c r="F406" s="17" t="str">
        <f aca="false">IF($D406="","",IF(Configuración!$B$10="Sí",$D406/(1+Configuración!$B$8),$D406))</f>
        <v/>
      </c>
      <c r="G406" s="17" t="str">
        <f aca="false">IF($D406="","",F406*Configuración!$B$8)</f>
        <v/>
      </c>
      <c r="H406" s="17" t="str">
        <f aca="false">IF($D406="","",F406+G406)</f>
        <v/>
      </c>
      <c r="I406" s="17" t="str">
        <f aca="false">IF($D406="","",F406*Configuración!$B$9)</f>
        <v/>
      </c>
      <c r="J406" s="17" t="str">
        <f aca="false">IF($D406="","",F406-I406)</f>
        <v/>
      </c>
      <c r="K406" s="17" t="str">
        <f aca="false">IF($D406="","",J406*Configuración!$C$4)</f>
        <v/>
      </c>
      <c r="L406" s="17" t="str">
        <f aca="false">IF($D406="","",J406*Configuración!$C$5)</f>
        <v/>
      </c>
    </row>
    <row r="407" customFormat="false" ht="15" hidden="false" customHeight="false" outlineLevel="0" collapsed="false">
      <c r="A407" s="15"/>
      <c r="B407" s="14"/>
      <c r="C407" s="14"/>
      <c r="D407" s="16"/>
      <c r="E407" s="14"/>
      <c r="F407" s="17" t="str">
        <f aca="false">IF($D407="","",IF(Configuración!$B$10="Sí",$D407/(1+Configuración!$B$8),$D407))</f>
        <v/>
      </c>
      <c r="G407" s="17" t="str">
        <f aca="false">IF($D407="","",F407*Configuración!$B$8)</f>
        <v/>
      </c>
      <c r="H407" s="17" t="str">
        <f aca="false">IF($D407="","",F407+G407)</f>
        <v/>
      </c>
      <c r="I407" s="17" t="str">
        <f aca="false">IF($D407="","",F407*Configuración!$B$9)</f>
        <v/>
      </c>
      <c r="J407" s="17" t="str">
        <f aca="false">IF($D407="","",F407-I407)</f>
        <v/>
      </c>
      <c r="K407" s="17" t="str">
        <f aca="false">IF($D407="","",J407*Configuración!$C$4)</f>
        <v/>
      </c>
      <c r="L407" s="17" t="str">
        <f aca="false">IF($D407="","",J407*Configuración!$C$5)</f>
        <v/>
      </c>
    </row>
    <row r="408" customFormat="false" ht="15" hidden="false" customHeight="false" outlineLevel="0" collapsed="false">
      <c r="A408" s="15"/>
      <c r="B408" s="14"/>
      <c r="C408" s="14"/>
      <c r="D408" s="16"/>
      <c r="E408" s="14"/>
      <c r="F408" s="17" t="str">
        <f aca="false">IF($D408="","",IF(Configuración!$B$10="Sí",$D408/(1+Configuración!$B$8),$D408))</f>
        <v/>
      </c>
      <c r="G408" s="17" t="str">
        <f aca="false">IF($D408="","",F408*Configuración!$B$8)</f>
        <v/>
      </c>
      <c r="H408" s="17" t="str">
        <f aca="false">IF($D408="","",F408+G408)</f>
        <v/>
      </c>
      <c r="I408" s="17" t="str">
        <f aca="false">IF($D408="","",F408*Configuración!$B$9)</f>
        <v/>
      </c>
      <c r="J408" s="17" t="str">
        <f aca="false">IF($D408="","",F408-I408)</f>
        <v/>
      </c>
      <c r="K408" s="17" t="str">
        <f aca="false">IF($D408="","",J408*Configuración!$C$4)</f>
        <v/>
      </c>
      <c r="L408" s="17" t="str">
        <f aca="false">IF($D408="","",J408*Configuración!$C$5)</f>
        <v/>
      </c>
    </row>
    <row r="409" customFormat="false" ht="15" hidden="false" customHeight="false" outlineLevel="0" collapsed="false">
      <c r="A409" s="15"/>
      <c r="B409" s="14"/>
      <c r="C409" s="14"/>
      <c r="D409" s="16"/>
      <c r="E409" s="14"/>
      <c r="F409" s="17" t="str">
        <f aca="false">IF($D409="","",IF(Configuración!$B$10="Sí",$D409/(1+Configuración!$B$8),$D409))</f>
        <v/>
      </c>
      <c r="G409" s="17" t="str">
        <f aca="false">IF($D409="","",F409*Configuración!$B$8)</f>
        <v/>
      </c>
      <c r="H409" s="17" t="str">
        <f aca="false">IF($D409="","",F409+G409)</f>
        <v/>
      </c>
      <c r="I409" s="17" t="str">
        <f aca="false">IF($D409="","",F409*Configuración!$B$9)</f>
        <v/>
      </c>
      <c r="J409" s="17" t="str">
        <f aca="false">IF($D409="","",F409-I409)</f>
        <v/>
      </c>
      <c r="K409" s="17" t="str">
        <f aca="false">IF($D409="","",J409*Configuración!$C$4)</f>
        <v/>
      </c>
      <c r="L409" s="17" t="str">
        <f aca="false">IF($D409="","",J409*Configuración!$C$5)</f>
        <v/>
      </c>
    </row>
    <row r="410" customFormat="false" ht="15" hidden="false" customHeight="false" outlineLevel="0" collapsed="false">
      <c r="A410" s="15"/>
      <c r="B410" s="14"/>
      <c r="C410" s="14"/>
      <c r="D410" s="16"/>
      <c r="E410" s="14"/>
      <c r="F410" s="17" t="str">
        <f aca="false">IF($D410="","",IF(Configuración!$B$10="Sí",$D410/(1+Configuración!$B$8),$D410))</f>
        <v/>
      </c>
      <c r="G410" s="17" t="str">
        <f aca="false">IF($D410="","",F410*Configuración!$B$8)</f>
        <v/>
      </c>
      <c r="H410" s="17" t="str">
        <f aca="false">IF($D410="","",F410+G410)</f>
        <v/>
      </c>
      <c r="I410" s="17" t="str">
        <f aca="false">IF($D410="","",F410*Configuración!$B$9)</f>
        <v/>
      </c>
      <c r="J410" s="17" t="str">
        <f aca="false">IF($D410="","",F410-I410)</f>
        <v/>
      </c>
      <c r="K410" s="17" t="str">
        <f aca="false">IF($D410="","",J410*Configuración!$C$4)</f>
        <v/>
      </c>
      <c r="L410" s="17" t="str">
        <f aca="false">IF($D410="","",J410*Configuración!$C$5)</f>
        <v/>
      </c>
    </row>
    <row r="411" customFormat="false" ht="15" hidden="false" customHeight="false" outlineLevel="0" collapsed="false">
      <c r="A411" s="15"/>
      <c r="B411" s="14"/>
      <c r="C411" s="14"/>
      <c r="D411" s="16"/>
      <c r="E411" s="14"/>
      <c r="F411" s="17" t="str">
        <f aca="false">IF($D411="","",IF(Configuración!$B$10="Sí",$D411/(1+Configuración!$B$8),$D411))</f>
        <v/>
      </c>
      <c r="G411" s="17" t="str">
        <f aca="false">IF($D411="","",F411*Configuración!$B$8)</f>
        <v/>
      </c>
      <c r="H411" s="17" t="str">
        <f aca="false">IF($D411="","",F411+G411)</f>
        <v/>
      </c>
      <c r="I411" s="17" t="str">
        <f aca="false">IF($D411="","",F411*Configuración!$B$9)</f>
        <v/>
      </c>
      <c r="J411" s="17" t="str">
        <f aca="false">IF($D411="","",F411-I411)</f>
        <v/>
      </c>
      <c r="K411" s="17" t="str">
        <f aca="false">IF($D411="","",J411*Configuración!$C$4)</f>
        <v/>
      </c>
      <c r="L411" s="17" t="str">
        <f aca="false">IF($D411="","",J411*Configuración!$C$5)</f>
        <v/>
      </c>
    </row>
    <row r="412" customFormat="false" ht="15" hidden="false" customHeight="false" outlineLevel="0" collapsed="false">
      <c r="A412" s="15"/>
      <c r="B412" s="14"/>
      <c r="C412" s="14"/>
      <c r="D412" s="16"/>
      <c r="E412" s="14"/>
      <c r="F412" s="17" t="str">
        <f aca="false">IF($D412="","",IF(Configuración!$B$10="Sí",$D412/(1+Configuración!$B$8),$D412))</f>
        <v/>
      </c>
      <c r="G412" s="17" t="str">
        <f aca="false">IF($D412="","",F412*Configuración!$B$8)</f>
        <v/>
      </c>
      <c r="H412" s="17" t="str">
        <f aca="false">IF($D412="","",F412+G412)</f>
        <v/>
      </c>
      <c r="I412" s="17" t="str">
        <f aca="false">IF($D412="","",F412*Configuración!$B$9)</f>
        <v/>
      </c>
      <c r="J412" s="17" t="str">
        <f aca="false">IF($D412="","",F412-I412)</f>
        <v/>
      </c>
      <c r="K412" s="17" t="str">
        <f aca="false">IF($D412="","",J412*Configuración!$C$4)</f>
        <v/>
      </c>
      <c r="L412" s="17" t="str">
        <f aca="false">IF($D412="","",J412*Configuración!$C$5)</f>
        <v/>
      </c>
    </row>
    <row r="413" customFormat="false" ht="15" hidden="false" customHeight="false" outlineLevel="0" collapsed="false">
      <c r="A413" s="15"/>
      <c r="B413" s="14"/>
      <c r="C413" s="14"/>
      <c r="D413" s="16"/>
      <c r="E413" s="14"/>
      <c r="F413" s="17" t="str">
        <f aca="false">IF($D413="","",IF(Configuración!$B$10="Sí",$D413/(1+Configuración!$B$8),$D413))</f>
        <v/>
      </c>
      <c r="G413" s="17" t="str">
        <f aca="false">IF($D413="","",F413*Configuración!$B$8)</f>
        <v/>
      </c>
      <c r="H413" s="17" t="str">
        <f aca="false">IF($D413="","",F413+G413)</f>
        <v/>
      </c>
      <c r="I413" s="17" t="str">
        <f aca="false">IF($D413="","",F413*Configuración!$B$9)</f>
        <v/>
      </c>
      <c r="J413" s="17" t="str">
        <f aca="false">IF($D413="","",F413-I413)</f>
        <v/>
      </c>
      <c r="K413" s="17" t="str">
        <f aca="false">IF($D413="","",J413*Configuración!$C$4)</f>
        <v/>
      </c>
      <c r="L413" s="17" t="str">
        <f aca="false">IF($D413="","",J413*Configuración!$C$5)</f>
        <v/>
      </c>
    </row>
    <row r="414" customFormat="false" ht="15" hidden="false" customHeight="false" outlineLevel="0" collapsed="false">
      <c r="A414" s="15"/>
      <c r="B414" s="14"/>
      <c r="C414" s="14"/>
      <c r="D414" s="16"/>
      <c r="E414" s="14"/>
      <c r="F414" s="17" t="str">
        <f aca="false">IF($D414="","",IF(Configuración!$B$10="Sí",$D414/(1+Configuración!$B$8),$D414))</f>
        <v/>
      </c>
      <c r="G414" s="17" t="str">
        <f aca="false">IF($D414="","",F414*Configuración!$B$8)</f>
        <v/>
      </c>
      <c r="H414" s="17" t="str">
        <f aca="false">IF($D414="","",F414+G414)</f>
        <v/>
      </c>
      <c r="I414" s="17" t="str">
        <f aca="false">IF($D414="","",F414*Configuración!$B$9)</f>
        <v/>
      </c>
      <c r="J414" s="17" t="str">
        <f aca="false">IF($D414="","",F414-I414)</f>
        <v/>
      </c>
      <c r="K414" s="17" t="str">
        <f aca="false">IF($D414="","",J414*Configuración!$C$4)</f>
        <v/>
      </c>
      <c r="L414" s="17" t="str">
        <f aca="false">IF($D414="","",J414*Configuración!$C$5)</f>
        <v/>
      </c>
    </row>
    <row r="415" customFormat="false" ht="15" hidden="false" customHeight="false" outlineLevel="0" collapsed="false">
      <c r="A415" s="15"/>
      <c r="B415" s="14"/>
      <c r="C415" s="14"/>
      <c r="D415" s="16"/>
      <c r="E415" s="14"/>
      <c r="F415" s="17" t="str">
        <f aca="false">IF($D415="","",IF(Configuración!$B$10="Sí",$D415/(1+Configuración!$B$8),$D415))</f>
        <v/>
      </c>
      <c r="G415" s="17" t="str">
        <f aca="false">IF($D415="","",F415*Configuración!$B$8)</f>
        <v/>
      </c>
      <c r="H415" s="17" t="str">
        <f aca="false">IF($D415="","",F415+G415)</f>
        <v/>
      </c>
      <c r="I415" s="17" t="str">
        <f aca="false">IF($D415="","",F415*Configuración!$B$9)</f>
        <v/>
      </c>
      <c r="J415" s="17" t="str">
        <f aca="false">IF($D415="","",F415-I415)</f>
        <v/>
      </c>
      <c r="K415" s="17" t="str">
        <f aca="false">IF($D415="","",J415*Configuración!$C$4)</f>
        <v/>
      </c>
      <c r="L415" s="17" t="str">
        <f aca="false">IF($D415="","",J415*Configuración!$C$5)</f>
        <v/>
      </c>
    </row>
    <row r="416" customFormat="false" ht="15" hidden="false" customHeight="false" outlineLevel="0" collapsed="false">
      <c r="A416" s="15"/>
      <c r="B416" s="14"/>
      <c r="C416" s="14"/>
      <c r="D416" s="16"/>
      <c r="E416" s="14"/>
      <c r="F416" s="17" t="str">
        <f aca="false">IF($D416="","",IF(Configuración!$B$10="Sí",$D416/(1+Configuración!$B$8),$D416))</f>
        <v/>
      </c>
      <c r="G416" s="17" t="str">
        <f aca="false">IF($D416="","",F416*Configuración!$B$8)</f>
        <v/>
      </c>
      <c r="H416" s="17" t="str">
        <f aca="false">IF($D416="","",F416+G416)</f>
        <v/>
      </c>
      <c r="I416" s="17" t="str">
        <f aca="false">IF($D416="","",F416*Configuración!$B$9)</f>
        <v/>
      </c>
      <c r="J416" s="17" t="str">
        <f aca="false">IF($D416="","",F416-I416)</f>
        <v/>
      </c>
      <c r="K416" s="17" t="str">
        <f aca="false">IF($D416="","",J416*Configuración!$C$4)</f>
        <v/>
      </c>
      <c r="L416" s="17" t="str">
        <f aca="false">IF($D416="","",J416*Configuración!$C$5)</f>
        <v/>
      </c>
    </row>
    <row r="417" customFormat="false" ht="15" hidden="false" customHeight="false" outlineLevel="0" collapsed="false">
      <c r="A417" s="15"/>
      <c r="B417" s="14"/>
      <c r="C417" s="14"/>
      <c r="D417" s="16"/>
      <c r="E417" s="14"/>
      <c r="F417" s="17" t="str">
        <f aca="false">IF($D417="","",IF(Configuración!$B$10="Sí",$D417/(1+Configuración!$B$8),$D417))</f>
        <v/>
      </c>
      <c r="G417" s="17" t="str">
        <f aca="false">IF($D417="","",F417*Configuración!$B$8)</f>
        <v/>
      </c>
      <c r="H417" s="17" t="str">
        <f aca="false">IF($D417="","",F417+G417)</f>
        <v/>
      </c>
      <c r="I417" s="17" t="str">
        <f aca="false">IF($D417="","",F417*Configuración!$B$9)</f>
        <v/>
      </c>
      <c r="J417" s="17" t="str">
        <f aca="false">IF($D417="","",F417-I417)</f>
        <v/>
      </c>
      <c r="K417" s="17" t="str">
        <f aca="false">IF($D417="","",J417*Configuración!$C$4)</f>
        <v/>
      </c>
      <c r="L417" s="17" t="str">
        <f aca="false">IF($D417="","",J417*Configuración!$C$5)</f>
        <v/>
      </c>
    </row>
    <row r="418" customFormat="false" ht="15" hidden="false" customHeight="false" outlineLevel="0" collapsed="false">
      <c r="A418" s="15"/>
      <c r="B418" s="14"/>
      <c r="C418" s="14"/>
      <c r="D418" s="16"/>
      <c r="E418" s="14"/>
      <c r="F418" s="17" t="str">
        <f aca="false">IF($D418="","",IF(Configuración!$B$10="Sí",$D418/(1+Configuración!$B$8),$D418))</f>
        <v/>
      </c>
      <c r="G418" s="17" t="str">
        <f aca="false">IF($D418="","",F418*Configuración!$B$8)</f>
        <v/>
      </c>
      <c r="H418" s="17" t="str">
        <f aca="false">IF($D418="","",F418+G418)</f>
        <v/>
      </c>
      <c r="I418" s="17" t="str">
        <f aca="false">IF($D418="","",F418*Configuración!$B$9)</f>
        <v/>
      </c>
      <c r="J418" s="17" t="str">
        <f aca="false">IF($D418="","",F418-I418)</f>
        <v/>
      </c>
      <c r="K418" s="17" t="str">
        <f aca="false">IF($D418="","",J418*Configuración!$C$4)</f>
        <v/>
      </c>
      <c r="L418" s="17" t="str">
        <f aca="false">IF($D418="","",J418*Configuración!$C$5)</f>
        <v/>
      </c>
    </row>
    <row r="419" customFormat="false" ht="15" hidden="false" customHeight="false" outlineLevel="0" collapsed="false">
      <c r="A419" s="15"/>
      <c r="B419" s="14"/>
      <c r="C419" s="14"/>
      <c r="D419" s="16"/>
      <c r="E419" s="14"/>
      <c r="F419" s="17" t="str">
        <f aca="false">IF($D419="","",IF(Configuración!$B$10="Sí",$D419/(1+Configuración!$B$8),$D419))</f>
        <v/>
      </c>
      <c r="G419" s="17" t="str">
        <f aca="false">IF($D419="","",F419*Configuración!$B$8)</f>
        <v/>
      </c>
      <c r="H419" s="17" t="str">
        <f aca="false">IF($D419="","",F419+G419)</f>
        <v/>
      </c>
      <c r="I419" s="17" t="str">
        <f aca="false">IF($D419="","",F419*Configuración!$B$9)</f>
        <v/>
      </c>
      <c r="J419" s="17" t="str">
        <f aca="false">IF($D419="","",F419-I419)</f>
        <v/>
      </c>
      <c r="K419" s="17" t="str">
        <f aca="false">IF($D419="","",J419*Configuración!$C$4)</f>
        <v/>
      </c>
      <c r="L419" s="17" t="str">
        <f aca="false">IF($D419="","",J419*Configuración!$C$5)</f>
        <v/>
      </c>
    </row>
    <row r="420" customFormat="false" ht="15" hidden="false" customHeight="false" outlineLevel="0" collapsed="false">
      <c r="A420" s="15"/>
      <c r="B420" s="14"/>
      <c r="C420" s="14"/>
      <c r="D420" s="16"/>
      <c r="E420" s="14"/>
      <c r="F420" s="17" t="str">
        <f aca="false">IF($D420="","",IF(Configuración!$B$10="Sí",$D420/(1+Configuración!$B$8),$D420))</f>
        <v/>
      </c>
      <c r="G420" s="17" t="str">
        <f aca="false">IF($D420="","",F420*Configuración!$B$8)</f>
        <v/>
      </c>
      <c r="H420" s="17" t="str">
        <f aca="false">IF($D420="","",F420+G420)</f>
        <v/>
      </c>
      <c r="I420" s="17" t="str">
        <f aca="false">IF($D420="","",F420*Configuración!$B$9)</f>
        <v/>
      </c>
      <c r="J420" s="17" t="str">
        <f aca="false">IF($D420="","",F420-I420)</f>
        <v/>
      </c>
      <c r="K420" s="17" t="str">
        <f aca="false">IF($D420="","",J420*Configuración!$C$4)</f>
        <v/>
      </c>
      <c r="L420" s="17" t="str">
        <f aca="false">IF($D420="","",J420*Configuración!$C$5)</f>
        <v/>
      </c>
    </row>
    <row r="421" customFormat="false" ht="15" hidden="false" customHeight="false" outlineLevel="0" collapsed="false">
      <c r="A421" s="15"/>
      <c r="B421" s="14"/>
      <c r="C421" s="14"/>
      <c r="D421" s="16"/>
      <c r="E421" s="14"/>
      <c r="F421" s="17" t="str">
        <f aca="false">IF($D421="","",IF(Configuración!$B$10="Sí",$D421/(1+Configuración!$B$8),$D421))</f>
        <v/>
      </c>
      <c r="G421" s="17" t="str">
        <f aca="false">IF($D421="","",F421*Configuración!$B$8)</f>
        <v/>
      </c>
      <c r="H421" s="17" t="str">
        <f aca="false">IF($D421="","",F421+G421)</f>
        <v/>
      </c>
      <c r="I421" s="17" t="str">
        <f aca="false">IF($D421="","",F421*Configuración!$B$9)</f>
        <v/>
      </c>
      <c r="J421" s="17" t="str">
        <f aca="false">IF($D421="","",F421-I421)</f>
        <v/>
      </c>
      <c r="K421" s="17" t="str">
        <f aca="false">IF($D421="","",J421*Configuración!$C$4)</f>
        <v/>
      </c>
      <c r="L421" s="17" t="str">
        <f aca="false">IF($D421="","",J421*Configuración!$C$5)</f>
        <v/>
      </c>
    </row>
    <row r="422" customFormat="false" ht="15" hidden="false" customHeight="false" outlineLevel="0" collapsed="false">
      <c r="A422" s="15"/>
      <c r="B422" s="14"/>
      <c r="C422" s="14"/>
      <c r="D422" s="16"/>
      <c r="E422" s="14"/>
      <c r="F422" s="17" t="str">
        <f aca="false">IF($D422="","",IF(Configuración!$B$10="Sí",$D422/(1+Configuración!$B$8),$D422))</f>
        <v/>
      </c>
      <c r="G422" s="17" t="str">
        <f aca="false">IF($D422="","",F422*Configuración!$B$8)</f>
        <v/>
      </c>
      <c r="H422" s="17" t="str">
        <f aca="false">IF($D422="","",F422+G422)</f>
        <v/>
      </c>
      <c r="I422" s="17" t="str">
        <f aca="false">IF($D422="","",F422*Configuración!$B$9)</f>
        <v/>
      </c>
      <c r="J422" s="17" t="str">
        <f aca="false">IF($D422="","",F422-I422)</f>
        <v/>
      </c>
      <c r="K422" s="17" t="str">
        <f aca="false">IF($D422="","",J422*Configuración!$C$4)</f>
        <v/>
      </c>
      <c r="L422" s="17" t="str">
        <f aca="false">IF($D422="","",J422*Configuración!$C$5)</f>
        <v/>
      </c>
    </row>
    <row r="423" customFormat="false" ht="15" hidden="false" customHeight="false" outlineLevel="0" collapsed="false">
      <c r="A423" s="15"/>
      <c r="B423" s="14"/>
      <c r="C423" s="14"/>
      <c r="D423" s="16"/>
      <c r="E423" s="14"/>
      <c r="F423" s="17" t="str">
        <f aca="false">IF($D423="","",IF(Configuración!$B$10="Sí",$D423/(1+Configuración!$B$8),$D423))</f>
        <v/>
      </c>
      <c r="G423" s="17" t="str">
        <f aca="false">IF($D423="","",F423*Configuración!$B$8)</f>
        <v/>
      </c>
      <c r="H423" s="17" t="str">
        <f aca="false">IF($D423="","",F423+G423)</f>
        <v/>
      </c>
      <c r="I423" s="17" t="str">
        <f aca="false">IF($D423="","",F423*Configuración!$B$9)</f>
        <v/>
      </c>
      <c r="J423" s="17" t="str">
        <f aca="false">IF($D423="","",F423-I423)</f>
        <v/>
      </c>
      <c r="K423" s="17" t="str">
        <f aca="false">IF($D423="","",J423*Configuración!$C$4)</f>
        <v/>
      </c>
      <c r="L423" s="17" t="str">
        <f aca="false">IF($D423="","",J423*Configuración!$C$5)</f>
        <v/>
      </c>
    </row>
    <row r="424" customFormat="false" ht="15" hidden="false" customHeight="false" outlineLevel="0" collapsed="false">
      <c r="A424" s="15"/>
      <c r="B424" s="14"/>
      <c r="C424" s="14"/>
      <c r="D424" s="16"/>
      <c r="E424" s="14"/>
      <c r="F424" s="17" t="str">
        <f aca="false">IF($D424="","",IF(Configuración!$B$10="Sí",$D424/(1+Configuración!$B$8),$D424))</f>
        <v/>
      </c>
      <c r="G424" s="17" t="str">
        <f aca="false">IF($D424="","",F424*Configuración!$B$8)</f>
        <v/>
      </c>
      <c r="H424" s="17" t="str">
        <f aca="false">IF($D424="","",F424+G424)</f>
        <v/>
      </c>
      <c r="I424" s="17" t="str">
        <f aca="false">IF($D424="","",F424*Configuración!$B$9)</f>
        <v/>
      </c>
      <c r="J424" s="17" t="str">
        <f aca="false">IF($D424="","",F424-I424)</f>
        <v/>
      </c>
      <c r="K424" s="17" t="str">
        <f aca="false">IF($D424="","",J424*Configuración!$C$4)</f>
        <v/>
      </c>
      <c r="L424" s="17" t="str">
        <f aca="false">IF($D424="","",J424*Configuración!$C$5)</f>
        <v/>
      </c>
    </row>
    <row r="425" customFormat="false" ht="15" hidden="false" customHeight="false" outlineLevel="0" collapsed="false">
      <c r="A425" s="15"/>
      <c r="B425" s="14"/>
      <c r="C425" s="14"/>
      <c r="D425" s="16"/>
      <c r="E425" s="14"/>
      <c r="F425" s="17" t="str">
        <f aca="false">IF($D425="","",IF(Configuración!$B$10="Sí",$D425/(1+Configuración!$B$8),$D425))</f>
        <v/>
      </c>
      <c r="G425" s="17" t="str">
        <f aca="false">IF($D425="","",F425*Configuración!$B$8)</f>
        <v/>
      </c>
      <c r="H425" s="17" t="str">
        <f aca="false">IF($D425="","",F425+G425)</f>
        <v/>
      </c>
      <c r="I425" s="17" t="str">
        <f aca="false">IF($D425="","",F425*Configuración!$B$9)</f>
        <v/>
      </c>
      <c r="J425" s="17" t="str">
        <f aca="false">IF($D425="","",F425-I425)</f>
        <v/>
      </c>
      <c r="K425" s="17" t="str">
        <f aca="false">IF($D425="","",J425*Configuración!$C$4)</f>
        <v/>
      </c>
      <c r="L425" s="17" t="str">
        <f aca="false">IF($D425="","",J425*Configuración!$C$5)</f>
        <v/>
      </c>
    </row>
    <row r="426" customFormat="false" ht="15" hidden="false" customHeight="false" outlineLevel="0" collapsed="false">
      <c r="A426" s="15"/>
      <c r="B426" s="14"/>
      <c r="C426" s="14"/>
      <c r="D426" s="16"/>
      <c r="E426" s="14"/>
      <c r="F426" s="17" t="str">
        <f aca="false">IF($D426="","",IF(Configuración!$B$10="Sí",$D426/(1+Configuración!$B$8),$D426))</f>
        <v/>
      </c>
      <c r="G426" s="17" t="str">
        <f aca="false">IF($D426="","",F426*Configuración!$B$8)</f>
        <v/>
      </c>
      <c r="H426" s="17" t="str">
        <f aca="false">IF($D426="","",F426+G426)</f>
        <v/>
      </c>
      <c r="I426" s="17" t="str">
        <f aca="false">IF($D426="","",F426*Configuración!$B$9)</f>
        <v/>
      </c>
      <c r="J426" s="17" t="str">
        <f aca="false">IF($D426="","",F426-I426)</f>
        <v/>
      </c>
      <c r="K426" s="17" t="str">
        <f aca="false">IF($D426="","",J426*Configuración!$C$4)</f>
        <v/>
      </c>
      <c r="L426" s="17" t="str">
        <f aca="false">IF($D426="","",J426*Configuración!$C$5)</f>
        <v/>
      </c>
    </row>
    <row r="427" customFormat="false" ht="15" hidden="false" customHeight="false" outlineLevel="0" collapsed="false">
      <c r="A427" s="15"/>
      <c r="B427" s="14"/>
      <c r="C427" s="14"/>
      <c r="D427" s="16"/>
      <c r="E427" s="14"/>
      <c r="F427" s="17" t="str">
        <f aca="false">IF($D427="","",IF(Configuración!$B$10="Sí",$D427/(1+Configuración!$B$8),$D427))</f>
        <v/>
      </c>
      <c r="G427" s="17" t="str">
        <f aca="false">IF($D427="","",F427*Configuración!$B$8)</f>
        <v/>
      </c>
      <c r="H427" s="17" t="str">
        <f aca="false">IF($D427="","",F427+G427)</f>
        <v/>
      </c>
      <c r="I427" s="17" t="str">
        <f aca="false">IF($D427="","",F427*Configuración!$B$9)</f>
        <v/>
      </c>
      <c r="J427" s="17" t="str">
        <f aca="false">IF($D427="","",F427-I427)</f>
        <v/>
      </c>
      <c r="K427" s="17" t="str">
        <f aca="false">IF($D427="","",J427*Configuración!$C$4)</f>
        <v/>
      </c>
      <c r="L427" s="17" t="str">
        <f aca="false">IF($D427="","",J427*Configuración!$C$5)</f>
        <v/>
      </c>
    </row>
    <row r="428" customFormat="false" ht="15" hidden="false" customHeight="false" outlineLevel="0" collapsed="false">
      <c r="A428" s="15"/>
      <c r="B428" s="14"/>
      <c r="C428" s="14"/>
      <c r="D428" s="16"/>
      <c r="E428" s="14"/>
      <c r="F428" s="17" t="str">
        <f aca="false">IF($D428="","",IF(Configuración!$B$10="Sí",$D428/(1+Configuración!$B$8),$D428))</f>
        <v/>
      </c>
      <c r="G428" s="17" t="str">
        <f aca="false">IF($D428="","",F428*Configuración!$B$8)</f>
        <v/>
      </c>
      <c r="H428" s="17" t="str">
        <f aca="false">IF($D428="","",F428+G428)</f>
        <v/>
      </c>
      <c r="I428" s="17" t="str">
        <f aca="false">IF($D428="","",F428*Configuración!$B$9)</f>
        <v/>
      </c>
      <c r="J428" s="17" t="str">
        <f aca="false">IF($D428="","",F428-I428)</f>
        <v/>
      </c>
      <c r="K428" s="17" t="str">
        <f aca="false">IF($D428="","",J428*Configuración!$C$4)</f>
        <v/>
      </c>
      <c r="L428" s="17" t="str">
        <f aca="false">IF($D428="","",J428*Configuración!$C$5)</f>
        <v/>
      </c>
    </row>
    <row r="429" customFormat="false" ht="15" hidden="false" customHeight="false" outlineLevel="0" collapsed="false">
      <c r="A429" s="15"/>
      <c r="B429" s="14"/>
      <c r="C429" s="14"/>
      <c r="D429" s="16"/>
      <c r="E429" s="14"/>
      <c r="F429" s="17" t="str">
        <f aca="false">IF($D429="","",IF(Configuración!$B$10="Sí",$D429/(1+Configuración!$B$8),$D429))</f>
        <v/>
      </c>
      <c r="G429" s="17" t="str">
        <f aca="false">IF($D429="","",F429*Configuración!$B$8)</f>
        <v/>
      </c>
      <c r="H429" s="17" t="str">
        <f aca="false">IF($D429="","",F429+G429)</f>
        <v/>
      </c>
      <c r="I429" s="17" t="str">
        <f aca="false">IF($D429="","",F429*Configuración!$B$9)</f>
        <v/>
      </c>
      <c r="J429" s="17" t="str">
        <f aca="false">IF($D429="","",F429-I429)</f>
        <v/>
      </c>
      <c r="K429" s="17" t="str">
        <f aca="false">IF($D429="","",J429*Configuración!$C$4)</f>
        <v/>
      </c>
      <c r="L429" s="17" t="str">
        <f aca="false">IF($D429="","",J429*Configuración!$C$5)</f>
        <v/>
      </c>
    </row>
    <row r="430" customFormat="false" ht="15" hidden="false" customHeight="false" outlineLevel="0" collapsed="false">
      <c r="A430" s="15"/>
      <c r="B430" s="14"/>
      <c r="C430" s="14"/>
      <c r="D430" s="16"/>
      <c r="E430" s="14"/>
      <c r="F430" s="17" t="str">
        <f aca="false">IF($D430="","",IF(Configuración!$B$10="Sí",$D430/(1+Configuración!$B$8),$D430))</f>
        <v/>
      </c>
      <c r="G430" s="17" t="str">
        <f aca="false">IF($D430="","",F430*Configuración!$B$8)</f>
        <v/>
      </c>
      <c r="H430" s="17" t="str">
        <f aca="false">IF($D430="","",F430+G430)</f>
        <v/>
      </c>
      <c r="I430" s="17" t="str">
        <f aca="false">IF($D430="","",F430*Configuración!$B$9)</f>
        <v/>
      </c>
      <c r="J430" s="17" t="str">
        <f aca="false">IF($D430="","",F430-I430)</f>
        <v/>
      </c>
      <c r="K430" s="17" t="str">
        <f aca="false">IF($D430="","",J430*Configuración!$C$4)</f>
        <v/>
      </c>
      <c r="L430" s="17" t="str">
        <f aca="false">IF($D430="","",J430*Configuración!$C$5)</f>
        <v/>
      </c>
    </row>
    <row r="431" customFormat="false" ht="15" hidden="false" customHeight="false" outlineLevel="0" collapsed="false">
      <c r="A431" s="15"/>
      <c r="B431" s="14"/>
      <c r="C431" s="14"/>
      <c r="D431" s="16"/>
      <c r="E431" s="14"/>
      <c r="F431" s="17" t="str">
        <f aca="false">IF($D431="","",IF(Configuración!$B$10="Sí",$D431/(1+Configuración!$B$8),$D431))</f>
        <v/>
      </c>
      <c r="G431" s="17" t="str">
        <f aca="false">IF($D431="","",F431*Configuración!$B$8)</f>
        <v/>
      </c>
      <c r="H431" s="17" t="str">
        <f aca="false">IF($D431="","",F431+G431)</f>
        <v/>
      </c>
      <c r="I431" s="17" t="str">
        <f aca="false">IF($D431="","",F431*Configuración!$B$9)</f>
        <v/>
      </c>
      <c r="J431" s="17" t="str">
        <f aca="false">IF($D431="","",F431-I431)</f>
        <v/>
      </c>
      <c r="K431" s="17" t="str">
        <f aca="false">IF($D431="","",J431*Configuración!$C$4)</f>
        <v/>
      </c>
      <c r="L431" s="17" t="str">
        <f aca="false">IF($D431="","",J431*Configuración!$C$5)</f>
        <v/>
      </c>
    </row>
    <row r="432" customFormat="false" ht="15" hidden="false" customHeight="false" outlineLevel="0" collapsed="false">
      <c r="A432" s="15"/>
      <c r="B432" s="14"/>
      <c r="C432" s="14"/>
      <c r="D432" s="16"/>
      <c r="E432" s="14"/>
      <c r="F432" s="17" t="str">
        <f aca="false">IF($D432="","",IF(Configuración!$B$10="Sí",$D432/(1+Configuración!$B$8),$D432))</f>
        <v/>
      </c>
      <c r="G432" s="17" t="str">
        <f aca="false">IF($D432="","",F432*Configuración!$B$8)</f>
        <v/>
      </c>
      <c r="H432" s="17" t="str">
        <f aca="false">IF($D432="","",F432+G432)</f>
        <v/>
      </c>
      <c r="I432" s="17" t="str">
        <f aca="false">IF($D432="","",F432*Configuración!$B$9)</f>
        <v/>
      </c>
      <c r="J432" s="17" t="str">
        <f aca="false">IF($D432="","",F432-I432)</f>
        <v/>
      </c>
      <c r="K432" s="17" t="str">
        <f aca="false">IF($D432="","",J432*Configuración!$C$4)</f>
        <v/>
      </c>
      <c r="L432" s="17" t="str">
        <f aca="false">IF($D432="","",J432*Configuración!$C$5)</f>
        <v/>
      </c>
    </row>
    <row r="433" customFormat="false" ht="15" hidden="false" customHeight="false" outlineLevel="0" collapsed="false">
      <c r="A433" s="15"/>
      <c r="B433" s="14"/>
      <c r="C433" s="14"/>
      <c r="D433" s="16"/>
      <c r="E433" s="14"/>
      <c r="F433" s="17" t="str">
        <f aca="false">IF($D433="","",IF(Configuración!$B$10="Sí",$D433/(1+Configuración!$B$8),$D433))</f>
        <v/>
      </c>
      <c r="G433" s="17" t="str">
        <f aca="false">IF($D433="","",F433*Configuración!$B$8)</f>
        <v/>
      </c>
      <c r="H433" s="17" t="str">
        <f aca="false">IF($D433="","",F433+G433)</f>
        <v/>
      </c>
      <c r="I433" s="17" t="str">
        <f aca="false">IF($D433="","",F433*Configuración!$B$9)</f>
        <v/>
      </c>
      <c r="J433" s="17" t="str">
        <f aca="false">IF($D433="","",F433-I433)</f>
        <v/>
      </c>
      <c r="K433" s="17" t="str">
        <f aca="false">IF($D433="","",J433*Configuración!$C$4)</f>
        <v/>
      </c>
      <c r="L433" s="17" t="str">
        <f aca="false">IF($D433="","",J433*Configuración!$C$5)</f>
        <v/>
      </c>
    </row>
    <row r="434" customFormat="false" ht="15" hidden="false" customHeight="false" outlineLevel="0" collapsed="false">
      <c r="A434" s="15"/>
      <c r="B434" s="14"/>
      <c r="C434" s="14"/>
      <c r="D434" s="16"/>
      <c r="E434" s="14"/>
      <c r="F434" s="17" t="str">
        <f aca="false">IF($D434="","",IF(Configuración!$B$10="Sí",$D434/(1+Configuración!$B$8),$D434))</f>
        <v/>
      </c>
      <c r="G434" s="17" t="str">
        <f aca="false">IF($D434="","",F434*Configuración!$B$8)</f>
        <v/>
      </c>
      <c r="H434" s="17" t="str">
        <f aca="false">IF($D434="","",F434+G434)</f>
        <v/>
      </c>
      <c r="I434" s="17" t="str">
        <f aca="false">IF($D434="","",F434*Configuración!$B$9)</f>
        <v/>
      </c>
      <c r="J434" s="17" t="str">
        <f aca="false">IF($D434="","",F434-I434)</f>
        <v/>
      </c>
      <c r="K434" s="17" t="str">
        <f aca="false">IF($D434="","",J434*Configuración!$C$4)</f>
        <v/>
      </c>
      <c r="L434" s="17" t="str">
        <f aca="false">IF($D434="","",J434*Configuración!$C$5)</f>
        <v/>
      </c>
    </row>
    <row r="435" customFormat="false" ht="15" hidden="false" customHeight="false" outlineLevel="0" collapsed="false">
      <c r="A435" s="15"/>
      <c r="B435" s="14"/>
      <c r="C435" s="14"/>
      <c r="D435" s="16"/>
      <c r="E435" s="14"/>
      <c r="F435" s="17" t="str">
        <f aca="false">IF($D435="","",IF(Configuración!$B$10="Sí",$D435/(1+Configuración!$B$8),$D435))</f>
        <v/>
      </c>
      <c r="G435" s="17" t="str">
        <f aca="false">IF($D435="","",F435*Configuración!$B$8)</f>
        <v/>
      </c>
      <c r="H435" s="17" t="str">
        <f aca="false">IF($D435="","",F435+G435)</f>
        <v/>
      </c>
      <c r="I435" s="17" t="str">
        <f aca="false">IF($D435="","",F435*Configuración!$B$9)</f>
        <v/>
      </c>
      <c r="J435" s="17" t="str">
        <f aca="false">IF($D435="","",F435-I435)</f>
        <v/>
      </c>
      <c r="K435" s="17" t="str">
        <f aca="false">IF($D435="","",J435*Configuración!$C$4)</f>
        <v/>
      </c>
      <c r="L435" s="17" t="str">
        <f aca="false">IF($D435="","",J435*Configuración!$C$5)</f>
        <v/>
      </c>
    </row>
    <row r="436" customFormat="false" ht="15" hidden="false" customHeight="false" outlineLevel="0" collapsed="false">
      <c r="A436" s="15"/>
      <c r="B436" s="14"/>
      <c r="C436" s="14"/>
      <c r="D436" s="16"/>
      <c r="E436" s="14"/>
      <c r="F436" s="17" t="str">
        <f aca="false">IF($D436="","",IF(Configuración!$B$10="Sí",$D436/(1+Configuración!$B$8),$D436))</f>
        <v/>
      </c>
      <c r="G436" s="17" t="str">
        <f aca="false">IF($D436="","",F436*Configuración!$B$8)</f>
        <v/>
      </c>
      <c r="H436" s="17" t="str">
        <f aca="false">IF($D436="","",F436+G436)</f>
        <v/>
      </c>
      <c r="I436" s="17" t="str">
        <f aca="false">IF($D436="","",F436*Configuración!$B$9)</f>
        <v/>
      </c>
      <c r="J436" s="17" t="str">
        <f aca="false">IF($D436="","",F436-I436)</f>
        <v/>
      </c>
      <c r="K436" s="17" t="str">
        <f aca="false">IF($D436="","",J436*Configuración!$C$4)</f>
        <v/>
      </c>
      <c r="L436" s="17" t="str">
        <f aca="false">IF($D436="","",J436*Configuración!$C$5)</f>
        <v/>
      </c>
    </row>
    <row r="437" customFormat="false" ht="15" hidden="false" customHeight="false" outlineLevel="0" collapsed="false">
      <c r="A437" s="15"/>
      <c r="B437" s="14"/>
      <c r="C437" s="14"/>
      <c r="D437" s="16"/>
      <c r="E437" s="14"/>
      <c r="F437" s="17" t="str">
        <f aca="false">IF($D437="","",IF(Configuración!$B$10="Sí",$D437/(1+Configuración!$B$8),$D437))</f>
        <v/>
      </c>
      <c r="G437" s="17" t="str">
        <f aca="false">IF($D437="","",F437*Configuración!$B$8)</f>
        <v/>
      </c>
      <c r="H437" s="17" t="str">
        <f aca="false">IF($D437="","",F437+G437)</f>
        <v/>
      </c>
      <c r="I437" s="17" t="str">
        <f aca="false">IF($D437="","",F437*Configuración!$B$9)</f>
        <v/>
      </c>
      <c r="J437" s="17" t="str">
        <f aca="false">IF($D437="","",F437-I437)</f>
        <v/>
      </c>
      <c r="K437" s="17" t="str">
        <f aca="false">IF($D437="","",J437*Configuración!$C$4)</f>
        <v/>
      </c>
      <c r="L437" s="17" t="str">
        <f aca="false">IF($D437="","",J437*Configuración!$C$5)</f>
        <v/>
      </c>
    </row>
    <row r="438" customFormat="false" ht="15" hidden="false" customHeight="false" outlineLevel="0" collapsed="false">
      <c r="A438" s="15"/>
      <c r="B438" s="14"/>
      <c r="C438" s="14"/>
      <c r="D438" s="16"/>
      <c r="E438" s="14"/>
      <c r="F438" s="17" t="str">
        <f aca="false">IF($D438="","",IF(Configuración!$B$10="Sí",$D438/(1+Configuración!$B$8),$D438))</f>
        <v/>
      </c>
      <c r="G438" s="17" t="str">
        <f aca="false">IF($D438="","",F438*Configuración!$B$8)</f>
        <v/>
      </c>
      <c r="H438" s="17" t="str">
        <f aca="false">IF($D438="","",F438+G438)</f>
        <v/>
      </c>
      <c r="I438" s="17" t="str">
        <f aca="false">IF($D438="","",F438*Configuración!$B$9)</f>
        <v/>
      </c>
      <c r="J438" s="17" t="str">
        <f aca="false">IF($D438="","",F438-I438)</f>
        <v/>
      </c>
      <c r="K438" s="17" t="str">
        <f aca="false">IF($D438="","",J438*Configuración!$C$4)</f>
        <v/>
      </c>
      <c r="L438" s="17" t="str">
        <f aca="false">IF($D438="","",J438*Configuración!$C$5)</f>
        <v/>
      </c>
    </row>
    <row r="439" customFormat="false" ht="15" hidden="false" customHeight="false" outlineLevel="0" collapsed="false">
      <c r="A439" s="15"/>
      <c r="B439" s="14"/>
      <c r="C439" s="14"/>
      <c r="D439" s="16"/>
      <c r="E439" s="14"/>
      <c r="F439" s="17" t="str">
        <f aca="false">IF($D439="","",IF(Configuración!$B$10="Sí",$D439/(1+Configuración!$B$8),$D439))</f>
        <v/>
      </c>
      <c r="G439" s="17" t="str">
        <f aca="false">IF($D439="","",F439*Configuración!$B$8)</f>
        <v/>
      </c>
      <c r="H439" s="17" t="str">
        <f aca="false">IF($D439="","",F439+G439)</f>
        <v/>
      </c>
      <c r="I439" s="17" t="str">
        <f aca="false">IF($D439="","",F439*Configuración!$B$9)</f>
        <v/>
      </c>
      <c r="J439" s="17" t="str">
        <f aca="false">IF($D439="","",F439-I439)</f>
        <v/>
      </c>
      <c r="K439" s="17" t="str">
        <f aca="false">IF($D439="","",J439*Configuración!$C$4)</f>
        <v/>
      </c>
      <c r="L439" s="17" t="str">
        <f aca="false">IF($D439="","",J439*Configuración!$C$5)</f>
        <v/>
      </c>
    </row>
    <row r="440" customFormat="false" ht="15" hidden="false" customHeight="false" outlineLevel="0" collapsed="false">
      <c r="A440" s="15"/>
      <c r="B440" s="14"/>
      <c r="C440" s="14"/>
      <c r="D440" s="16"/>
      <c r="E440" s="14"/>
      <c r="F440" s="17" t="str">
        <f aca="false">IF($D440="","",IF(Configuración!$B$10="Sí",$D440/(1+Configuración!$B$8),$D440))</f>
        <v/>
      </c>
      <c r="G440" s="17" t="str">
        <f aca="false">IF($D440="","",F440*Configuración!$B$8)</f>
        <v/>
      </c>
      <c r="H440" s="17" t="str">
        <f aca="false">IF($D440="","",F440+G440)</f>
        <v/>
      </c>
      <c r="I440" s="17" t="str">
        <f aca="false">IF($D440="","",F440*Configuración!$B$9)</f>
        <v/>
      </c>
      <c r="J440" s="17" t="str">
        <f aca="false">IF($D440="","",F440-I440)</f>
        <v/>
      </c>
      <c r="K440" s="17" t="str">
        <f aca="false">IF($D440="","",J440*Configuración!$C$4)</f>
        <v/>
      </c>
      <c r="L440" s="17" t="str">
        <f aca="false">IF($D440="","",J440*Configuración!$C$5)</f>
        <v/>
      </c>
    </row>
    <row r="441" customFormat="false" ht="15" hidden="false" customHeight="false" outlineLevel="0" collapsed="false">
      <c r="A441" s="15"/>
      <c r="B441" s="14"/>
      <c r="C441" s="14"/>
      <c r="D441" s="16"/>
      <c r="E441" s="14"/>
      <c r="F441" s="17" t="str">
        <f aca="false">IF($D441="","",IF(Configuración!$B$10="Sí",$D441/(1+Configuración!$B$8),$D441))</f>
        <v/>
      </c>
      <c r="G441" s="17" t="str">
        <f aca="false">IF($D441="","",F441*Configuración!$B$8)</f>
        <v/>
      </c>
      <c r="H441" s="17" t="str">
        <f aca="false">IF($D441="","",F441+G441)</f>
        <v/>
      </c>
      <c r="I441" s="17" t="str">
        <f aca="false">IF($D441="","",F441*Configuración!$B$9)</f>
        <v/>
      </c>
      <c r="J441" s="17" t="str">
        <f aca="false">IF($D441="","",F441-I441)</f>
        <v/>
      </c>
      <c r="K441" s="17" t="str">
        <f aca="false">IF($D441="","",J441*Configuración!$C$4)</f>
        <v/>
      </c>
      <c r="L441" s="17" t="str">
        <f aca="false">IF($D441="","",J441*Configuración!$C$5)</f>
        <v/>
      </c>
    </row>
    <row r="442" customFormat="false" ht="15" hidden="false" customHeight="false" outlineLevel="0" collapsed="false">
      <c r="A442" s="15"/>
      <c r="B442" s="14"/>
      <c r="C442" s="14"/>
      <c r="D442" s="16"/>
      <c r="E442" s="14"/>
      <c r="F442" s="17" t="str">
        <f aca="false">IF($D442="","",IF(Configuración!$B$10="Sí",$D442/(1+Configuración!$B$8),$D442))</f>
        <v/>
      </c>
      <c r="G442" s="17" t="str">
        <f aca="false">IF($D442="","",F442*Configuración!$B$8)</f>
        <v/>
      </c>
      <c r="H442" s="17" t="str">
        <f aca="false">IF($D442="","",F442+G442)</f>
        <v/>
      </c>
      <c r="I442" s="17" t="str">
        <f aca="false">IF($D442="","",F442*Configuración!$B$9)</f>
        <v/>
      </c>
      <c r="J442" s="17" t="str">
        <f aca="false">IF($D442="","",F442-I442)</f>
        <v/>
      </c>
      <c r="K442" s="17" t="str">
        <f aca="false">IF($D442="","",J442*Configuración!$C$4)</f>
        <v/>
      </c>
      <c r="L442" s="17" t="str">
        <f aca="false">IF($D442="","",J442*Configuración!$C$5)</f>
        <v/>
      </c>
    </row>
    <row r="443" customFormat="false" ht="15" hidden="false" customHeight="false" outlineLevel="0" collapsed="false">
      <c r="A443" s="15"/>
      <c r="B443" s="14"/>
      <c r="C443" s="14"/>
      <c r="D443" s="16"/>
      <c r="E443" s="14"/>
      <c r="F443" s="17" t="str">
        <f aca="false">IF($D443="","",IF(Configuración!$B$10="Sí",$D443/(1+Configuración!$B$8),$D443))</f>
        <v/>
      </c>
      <c r="G443" s="17" t="str">
        <f aca="false">IF($D443="","",F443*Configuración!$B$8)</f>
        <v/>
      </c>
      <c r="H443" s="17" t="str">
        <f aca="false">IF($D443="","",F443+G443)</f>
        <v/>
      </c>
      <c r="I443" s="17" t="str">
        <f aca="false">IF($D443="","",F443*Configuración!$B$9)</f>
        <v/>
      </c>
      <c r="J443" s="17" t="str">
        <f aca="false">IF($D443="","",F443-I443)</f>
        <v/>
      </c>
      <c r="K443" s="17" t="str">
        <f aca="false">IF($D443="","",J443*Configuración!$C$4)</f>
        <v/>
      </c>
      <c r="L443" s="17" t="str">
        <f aca="false">IF($D443="","",J443*Configuración!$C$5)</f>
        <v/>
      </c>
    </row>
    <row r="444" customFormat="false" ht="15" hidden="false" customHeight="false" outlineLevel="0" collapsed="false">
      <c r="A444" s="15"/>
      <c r="B444" s="14"/>
      <c r="C444" s="14"/>
      <c r="D444" s="16"/>
      <c r="E444" s="14"/>
      <c r="F444" s="17" t="str">
        <f aca="false">IF($D444="","",IF(Configuración!$B$10="Sí",$D444/(1+Configuración!$B$8),$D444))</f>
        <v/>
      </c>
      <c r="G444" s="17" t="str">
        <f aca="false">IF($D444="","",F444*Configuración!$B$8)</f>
        <v/>
      </c>
      <c r="H444" s="17" t="str">
        <f aca="false">IF($D444="","",F444+G444)</f>
        <v/>
      </c>
      <c r="I444" s="17" t="str">
        <f aca="false">IF($D444="","",F444*Configuración!$B$9)</f>
        <v/>
      </c>
      <c r="J444" s="17" t="str">
        <f aca="false">IF($D444="","",F444-I444)</f>
        <v/>
      </c>
      <c r="K444" s="17" t="str">
        <f aca="false">IF($D444="","",J444*Configuración!$C$4)</f>
        <v/>
      </c>
      <c r="L444" s="17" t="str">
        <f aca="false">IF($D444="","",J444*Configuración!$C$5)</f>
        <v/>
      </c>
    </row>
    <row r="445" customFormat="false" ht="15" hidden="false" customHeight="false" outlineLevel="0" collapsed="false">
      <c r="A445" s="15"/>
      <c r="B445" s="14"/>
      <c r="C445" s="14"/>
      <c r="D445" s="16"/>
      <c r="E445" s="14"/>
      <c r="F445" s="17" t="str">
        <f aca="false">IF($D445="","",IF(Configuración!$B$10="Sí",$D445/(1+Configuración!$B$8),$D445))</f>
        <v/>
      </c>
      <c r="G445" s="17" t="str">
        <f aca="false">IF($D445="","",F445*Configuración!$B$8)</f>
        <v/>
      </c>
      <c r="H445" s="17" t="str">
        <f aca="false">IF($D445="","",F445+G445)</f>
        <v/>
      </c>
      <c r="I445" s="17" t="str">
        <f aca="false">IF($D445="","",F445*Configuración!$B$9)</f>
        <v/>
      </c>
      <c r="J445" s="17" t="str">
        <f aca="false">IF($D445="","",F445-I445)</f>
        <v/>
      </c>
      <c r="K445" s="17" t="str">
        <f aca="false">IF($D445="","",J445*Configuración!$C$4)</f>
        <v/>
      </c>
      <c r="L445" s="17" t="str">
        <f aca="false">IF($D445="","",J445*Configuración!$C$5)</f>
        <v/>
      </c>
    </row>
    <row r="446" customFormat="false" ht="15" hidden="false" customHeight="false" outlineLevel="0" collapsed="false">
      <c r="A446" s="15"/>
      <c r="B446" s="14"/>
      <c r="C446" s="14"/>
      <c r="D446" s="16"/>
      <c r="E446" s="14"/>
      <c r="F446" s="17" t="str">
        <f aca="false">IF($D446="","",IF(Configuración!$B$10="Sí",$D446/(1+Configuración!$B$8),$D446))</f>
        <v/>
      </c>
      <c r="G446" s="17" t="str">
        <f aca="false">IF($D446="","",F446*Configuración!$B$8)</f>
        <v/>
      </c>
      <c r="H446" s="17" t="str">
        <f aca="false">IF($D446="","",F446+G446)</f>
        <v/>
      </c>
      <c r="I446" s="17" t="str">
        <f aca="false">IF($D446="","",F446*Configuración!$B$9)</f>
        <v/>
      </c>
      <c r="J446" s="17" t="str">
        <f aca="false">IF($D446="","",F446-I446)</f>
        <v/>
      </c>
      <c r="K446" s="17" t="str">
        <f aca="false">IF($D446="","",J446*Configuración!$C$4)</f>
        <v/>
      </c>
      <c r="L446" s="17" t="str">
        <f aca="false">IF($D446="","",J446*Configuración!$C$5)</f>
        <v/>
      </c>
    </row>
    <row r="447" customFormat="false" ht="15" hidden="false" customHeight="false" outlineLevel="0" collapsed="false">
      <c r="A447" s="15"/>
      <c r="B447" s="14"/>
      <c r="C447" s="14"/>
      <c r="D447" s="16"/>
      <c r="E447" s="14"/>
      <c r="F447" s="17" t="str">
        <f aca="false">IF($D447="","",IF(Configuración!$B$10="Sí",$D447/(1+Configuración!$B$8),$D447))</f>
        <v/>
      </c>
      <c r="G447" s="17" t="str">
        <f aca="false">IF($D447="","",F447*Configuración!$B$8)</f>
        <v/>
      </c>
      <c r="H447" s="17" t="str">
        <f aca="false">IF($D447="","",F447+G447)</f>
        <v/>
      </c>
      <c r="I447" s="17" t="str">
        <f aca="false">IF($D447="","",F447*Configuración!$B$9)</f>
        <v/>
      </c>
      <c r="J447" s="17" t="str">
        <f aca="false">IF($D447="","",F447-I447)</f>
        <v/>
      </c>
      <c r="K447" s="17" t="str">
        <f aca="false">IF($D447="","",J447*Configuración!$C$4)</f>
        <v/>
      </c>
      <c r="L447" s="17" t="str">
        <f aca="false">IF($D447="","",J447*Configuración!$C$5)</f>
        <v/>
      </c>
    </row>
    <row r="448" customFormat="false" ht="15" hidden="false" customHeight="false" outlineLevel="0" collapsed="false">
      <c r="A448" s="15"/>
      <c r="B448" s="14"/>
      <c r="C448" s="14"/>
      <c r="D448" s="16"/>
      <c r="E448" s="14"/>
      <c r="F448" s="17" t="str">
        <f aca="false">IF($D448="","",IF(Configuración!$B$10="Sí",$D448/(1+Configuración!$B$8),$D448))</f>
        <v/>
      </c>
      <c r="G448" s="17" t="str">
        <f aca="false">IF($D448="","",F448*Configuración!$B$8)</f>
        <v/>
      </c>
      <c r="H448" s="17" t="str">
        <f aca="false">IF($D448="","",F448+G448)</f>
        <v/>
      </c>
      <c r="I448" s="17" t="str">
        <f aca="false">IF($D448="","",F448*Configuración!$B$9)</f>
        <v/>
      </c>
      <c r="J448" s="17" t="str">
        <f aca="false">IF($D448="","",F448-I448)</f>
        <v/>
      </c>
      <c r="K448" s="17" t="str">
        <f aca="false">IF($D448="","",J448*Configuración!$C$4)</f>
        <v/>
      </c>
      <c r="L448" s="17" t="str">
        <f aca="false">IF($D448="","",J448*Configuración!$C$5)</f>
        <v/>
      </c>
    </row>
    <row r="449" customFormat="false" ht="15" hidden="false" customHeight="false" outlineLevel="0" collapsed="false">
      <c r="A449" s="15"/>
      <c r="B449" s="14"/>
      <c r="C449" s="14"/>
      <c r="D449" s="16"/>
      <c r="E449" s="14"/>
      <c r="F449" s="17" t="str">
        <f aca="false">IF($D449="","",IF(Configuración!$B$10="Sí",$D449/(1+Configuración!$B$8),$D449))</f>
        <v/>
      </c>
      <c r="G449" s="17" t="str">
        <f aca="false">IF($D449="","",F449*Configuración!$B$8)</f>
        <v/>
      </c>
      <c r="H449" s="17" t="str">
        <f aca="false">IF($D449="","",F449+G449)</f>
        <v/>
      </c>
      <c r="I449" s="17" t="str">
        <f aca="false">IF($D449="","",F449*Configuración!$B$9)</f>
        <v/>
      </c>
      <c r="J449" s="17" t="str">
        <f aca="false">IF($D449="","",F449-I449)</f>
        <v/>
      </c>
      <c r="K449" s="17" t="str">
        <f aca="false">IF($D449="","",J449*Configuración!$C$4)</f>
        <v/>
      </c>
      <c r="L449" s="17" t="str">
        <f aca="false">IF($D449="","",J449*Configuración!$C$5)</f>
        <v/>
      </c>
    </row>
    <row r="450" customFormat="false" ht="15" hidden="false" customHeight="false" outlineLevel="0" collapsed="false">
      <c r="A450" s="15"/>
      <c r="B450" s="14"/>
      <c r="C450" s="14"/>
      <c r="D450" s="16"/>
      <c r="E450" s="14"/>
      <c r="F450" s="17" t="str">
        <f aca="false">IF($D450="","",IF(Configuración!$B$10="Sí",$D450/(1+Configuración!$B$8),$D450))</f>
        <v/>
      </c>
      <c r="G450" s="17" t="str">
        <f aca="false">IF($D450="","",F450*Configuración!$B$8)</f>
        <v/>
      </c>
      <c r="H450" s="17" t="str">
        <f aca="false">IF($D450="","",F450+G450)</f>
        <v/>
      </c>
      <c r="I450" s="17" t="str">
        <f aca="false">IF($D450="","",F450*Configuración!$B$9)</f>
        <v/>
      </c>
      <c r="J450" s="17" t="str">
        <f aca="false">IF($D450="","",F450-I450)</f>
        <v/>
      </c>
      <c r="K450" s="17" t="str">
        <f aca="false">IF($D450="","",J450*Configuración!$C$4)</f>
        <v/>
      </c>
      <c r="L450" s="17" t="str">
        <f aca="false">IF($D450="","",J450*Configuración!$C$5)</f>
        <v/>
      </c>
    </row>
    <row r="451" customFormat="false" ht="15" hidden="false" customHeight="false" outlineLevel="0" collapsed="false">
      <c r="A451" s="15"/>
      <c r="B451" s="14"/>
      <c r="C451" s="14"/>
      <c r="D451" s="16"/>
      <c r="E451" s="14"/>
      <c r="F451" s="17" t="str">
        <f aca="false">IF($D451="","",IF(Configuración!$B$10="Sí",$D451/(1+Configuración!$B$8),$D451))</f>
        <v/>
      </c>
      <c r="G451" s="17" t="str">
        <f aca="false">IF($D451="","",F451*Configuración!$B$8)</f>
        <v/>
      </c>
      <c r="H451" s="17" t="str">
        <f aca="false">IF($D451="","",F451+G451)</f>
        <v/>
      </c>
      <c r="I451" s="17" t="str">
        <f aca="false">IF($D451="","",F451*Configuración!$B$9)</f>
        <v/>
      </c>
      <c r="J451" s="17" t="str">
        <f aca="false">IF($D451="","",F451-I451)</f>
        <v/>
      </c>
      <c r="K451" s="17" t="str">
        <f aca="false">IF($D451="","",J451*Configuración!$C$4)</f>
        <v/>
      </c>
      <c r="L451" s="17" t="str">
        <f aca="false">IF($D451="","",J451*Configuración!$C$5)</f>
        <v/>
      </c>
    </row>
    <row r="452" customFormat="false" ht="15" hidden="false" customHeight="false" outlineLevel="0" collapsed="false">
      <c r="A452" s="15"/>
      <c r="B452" s="14"/>
      <c r="C452" s="14"/>
      <c r="D452" s="16"/>
      <c r="E452" s="14"/>
      <c r="F452" s="17" t="str">
        <f aca="false">IF($D452="","",IF(Configuración!$B$10="Sí",$D452/(1+Configuración!$B$8),$D452))</f>
        <v/>
      </c>
      <c r="G452" s="17" t="str">
        <f aca="false">IF($D452="","",F452*Configuración!$B$8)</f>
        <v/>
      </c>
      <c r="H452" s="17" t="str">
        <f aca="false">IF($D452="","",F452+G452)</f>
        <v/>
      </c>
      <c r="I452" s="17" t="str">
        <f aca="false">IF($D452="","",F452*Configuración!$B$9)</f>
        <v/>
      </c>
      <c r="J452" s="17" t="str">
        <f aca="false">IF($D452="","",F452-I452)</f>
        <v/>
      </c>
      <c r="K452" s="17" t="str">
        <f aca="false">IF($D452="","",J452*Configuración!$C$4)</f>
        <v/>
      </c>
      <c r="L452" s="17" t="str">
        <f aca="false">IF($D452="","",J452*Configuración!$C$5)</f>
        <v/>
      </c>
    </row>
    <row r="453" customFormat="false" ht="15" hidden="false" customHeight="false" outlineLevel="0" collapsed="false">
      <c r="A453" s="15"/>
      <c r="B453" s="14"/>
      <c r="C453" s="14"/>
      <c r="D453" s="16"/>
      <c r="E453" s="14"/>
      <c r="F453" s="17" t="str">
        <f aca="false">IF($D453="","",IF(Configuración!$B$10="Sí",$D453/(1+Configuración!$B$8),$D453))</f>
        <v/>
      </c>
      <c r="G453" s="17" t="str">
        <f aca="false">IF($D453="","",F453*Configuración!$B$8)</f>
        <v/>
      </c>
      <c r="H453" s="17" t="str">
        <f aca="false">IF($D453="","",F453+G453)</f>
        <v/>
      </c>
      <c r="I453" s="17" t="str">
        <f aca="false">IF($D453="","",F453*Configuración!$B$9)</f>
        <v/>
      </c>
      <c r="J453" s="17" t="str">
        <f aca="false">IF($D453="","",F453-I453)</f>
        <v/>
      </c>
      <c r="K453" s="17" t="str">
        <f aca="false">IF($D453="","",J453*Configuración!$C$4)</f>
        <v/>
      </c>
      <c r="L453" s="17" t="str">
        <f aca="false">IF($D453="","",J453*Configuración!$C$5)</f>
        <v/>
      </c>
    </row>
    <row r="454" customFormat="false" ht="15" hidden="false" customHeight="false" outlineLevel="0" collapsed="false">
      <c r="A454" s="15"/>
      <c r="B454" s="14"/>
      <c r="C454" s="14"/>
      <c r="D454" s="16"/>
      <c r="E454" s="14"/>
      <c r="F454" s="17" t="str">
        <f aca="false">IF($D454="","",IF(Configuración!$B$10="Sí",$D454/(1+Configuración!$B$8),$D454))</f>
        <v/>
      </c>
      <c r="G454" s="17" t="str">
        <f aca="false">IF($D454="","",F454*Configuración!$B$8)</f>
        <v/>
      </c>
      <c r="H454" s="17" t="str">
        <f aca="false">IF($D454="","",F454+G454)</f>
        <v/>
      </c>
      <c r="I454" s="17" t="str">
        <f aca="false">IF($D454="","",F454*Configuración!$B$9)</f>
        <v/>
      </c>
      <c r="J454" s="17" t="str">
        <f aca="false">IF($D454="","",F454-I454)</f>
        <v/>
      </c>
      <c r="K454" s="17" t="str">
        <f aca="false">IF($D454="","",J454*Configuración!$C$4)</f>
        <v/>
      </c>
      <c r="L454" s="17" t="str">
        <f aca="false">IF($D454="","",J454*Configuración!$C$5)</f>
        <v/>
      </c>
    </row>
    <row r="455" customFormat="false" ht="15" hidden="false" customHeight="false" outlineLevel="0" collapsed="false">
      <c r="A455" s="15"/>
      <c r="B455" s="14"/>
      <c r="C455" s="14"/>
      <c r="D455" s="16"/>
      <c r="E455" s="14"/>
      <c r="F455" s="17" t="str">
        <f aca="false">IF($D455="","",IF(Configuración!$B$10="Sí",$D455/(1+Configuración!$B$8),$D455))</f>
        <v/>
      </c>
      <c r="G455" s="17" t="str">
        <f aca="false">IF($D455="","",F455*Configuración!$B$8)</f>
        <v/>
      </c>
      <c r="H455" s="17" t="str">
        <f aca="false">IF($D455="","",F455+G455)</f>
        <v/>
      </c>
      <c r="I455" s="17" t="str">
        <f aca="false">IF($D455="","",F455*Configuración!$B$9)</f>
        <v/>
      </c>
      <c r="J455" s="17" t="str">
        <f aca="false">IF($D455="","",F455-I455)</f>
        <v/>
      </c>
      <c r="K455" s="17" t="str">
        <f aca="false">IF($D455="","",J455*Configuración!$C$4)</f>
        <v/>
      </c>
      <c r="L455" s="17" t="str">
        <f aca="false">IF($D455="","",J455*Configuración!$C$5)</f>
        <v/>
      </c>
    </row>
    <row r="456" customFormat="false" ht="15" hidden="false" customHeight="false" outlineLevel="0" collapsed="false">
      <c r="A456" s="15"/>
      <c r="B456" s="14"/>
      <c r="C456" s="14"/>
      <c r="D456" s="16"/>
      <c r="E456" s="14"/>
      <c r="F456" s="17" t="str">
        <f aca="false">IF($D456="","",IF(Configuración!$B$10="Sí",$D456/(1+Configuración!$B$8),$D456))</f>
        <v/>
      </c>
      <c r="G456" s="17" t="str">
        <f aca="false">IF($D456="","",F456*Configuración!$B$8)</f>
        <v/>
      </c>
      <c r="H456" s="17" t="str">
        <f aca="false">IF($D456="","",F456+G456)</f>
        <v/>
      </c>
      <c r="I456" s="17" t="str">
        <f aca="false">IF($D456="","",F456*Configuración!$B$9)</f>
        <v/>
      </c>
      <c r="J456" s="17" t="str">
        <f aca="false">IF($D456="","",F456-I456)</f>
        <v/>
      </c>
      <c r="K456" s="17" t="str">
        <f aca="false">IF($D456="","",J456*Configuración!$C$4)</f>
        <v/>
      </c>
      <c r="L456" s="17" t="str">
        <f aca="false">IF($D456="","",J456*Configuración!$C$5)</f>
        <v/>
      </c>
    </row>
    <row r="457" customFormat="false" ht="15" hidden="false" customHeight="false" outlineLevel="0" collapsed="false">
      <c r="A457" s="15"/>
      <c r="B457" s="14"/>
      <c r="C457" s="14"/>
      <c r="D457" s="16"/>
      <c r="E457" s="14"/>
      <c r="F457" s="17" t="str">
        <f aca="false">IF($D457="","",IF(Configuración!$B$10="Sí",$D457/(1+Configuración!$B$8),$D457))</f>
        <v/>
      </c>
      <c r="G457" s="17" t="str">
        <f aca="false">IF($D457="","",F457*Configuración!$B$8)</f>
        <v/>
      </c>
      <c r="H457" s="17" t="str">
        <f aca="false">IF($D457="","",F457+G457)</f>
        <v/>
      </c>
      <c r="I457" s="17" t="str">
        <f aca="false">IF($D457="","",F457*Configuración!$B$9)</f>
        <v/>
      </c>
      <c r="J457" s="17" t="str">
        <f aca="false">IF($D457="","",F457-I457)</f>
        <v/>
      </c>
      <c r="K457" s="17" t="str">
        <f aca="false">IF($D457="","",J457*Configuración!$C$4)</f>
        <v/>
      </c>
      <c r="L457" s="17" t="str">
        <f aca="false">IF($D457="","",J457*Configuración!$C$5)</f>
        <v/>
      </c>
    </row>
    <row r="458" customFormat="false" ht="15" hidden="false" customHeight="false" outlineLevel="0" collapsed="false">
      <c r="A458" s="15"/>
      <c r="B458" s="14"/>
      <c r="C458" s="14"/>
      <c r="D458" s="16"/>
      <c r="E458" s="14"/>
      <c r="F458" s="17" t="str">
        <f aca="false">IF($D458="","",IF(Configuración!$B$10="Sí",$D458/(1+Configuración!$B$8),$D458))</f>
        <v/>
      </c>
      <c r="G458" s="17" t="str">
        <f aca="false">IF($D458="","",F458*Configuración!$B$8)</f>
        <v/>
      </c>
      <c r="H458" s="17" t="str">
        <f aca="false">IF($D458="","",F458+G458)</f>
        <v/>
      </c>
      <c r="I458" s="17" t="str">
        <f aca="false">IF($D458="","",F458*Configuración!$B$9)</f>
        <v/>
      </c>
      <c r="J458" s="17" t="str">
        <f aca="false">IF($D458="","",F458-I458)</f>
        <v/>
      </c>
      <c r="K458" s="17" t="str">
        <f aca="false">IF($D458="","",J458*Configuración!$C$4)</f>
        <v/>
      </c>
      <c r="L458" s="17" t="str">
        <f aca="false">IF($D458="","",J458*Configuración!$C$5)</f>
        <v/>
      </c>
    </row>
    <row r="459" customFormat="false" ht="15" hidden="false" customHeight="false" outlineLevel="0" collapsed="false">
      <c r="A459" s="15"/>
      <c r="B459" s="14"/>
      <c r="C459" s="14"/>
      <c r="D459" s="16"/>
      <c r="E459" s="14"/>
      <c r="F459" s="17" t="str">
        <f aca="false">IF($D459="","",IF(Configuración!$B$10="Sí",$D459/(1+Configuración!$B$8),$D459))</f>
        <v/>
      </c>
      <c r="G459" s="17" t="str">
        <f aca="false">IF($D459="","",F459*Configuración!$B$8)</f>
        <v/>
      </c>
      <c r="H459" s="17" t="str">
        <f aca="false">IF($D459="","",F459+G459)</f>
        <v/>
      </c>
      <c r="I459" s="17" t="str">
        <f aca="false">IF($D459="","",F459*Configuración!$B$9)</f>
        <v/>
      </c>
      <c r="J459" s="17" t="str">
        <f aca="false">IF($D459="","",F459-I459)</f>
        <v/>
      </c>
      <c r="K459" s="17" t="str">
        <f aca="false">IF($D459="","",J459*Configuración!$C$4)</f>
        <v/>
      </c>
      <c r="L459" s="17" t="str">
        <f aca="false">IF($D459="","",J459*Configuración!$C$5)</f>
        <v/>
      </c>
    </row>
    <row r="460" customFormat="false" ht="15" hidden="false" customHeight="false" outlineLevel="0" collapsed="false">
      <c r="A460" s="15"/>
      <c r="B460" s="14"/>
      <c r="C460" s="14"/>
      <c r="D460" s="16"/>
      <c r="E460" s="14"/>
      <c r="F460" s="17" t="str">
        <f aca="false">IF($D460="","",IF(Configuración!$B$10="Sí",$D460/(1+Configuración!$B$8),$D460))</f>
        <v/>
      </c>
      <c r="G460" s="17" t="str">
        <f aca="false">IF($D460="","",F460*Configuración!$B$8)</f>
        <v/>
      </c>
      <c r="H460" s="17" t="str">
        <f aca="false">IF($D460="","",F460+G460)</f>
        <v/>
      </c>
      <c r="I460" s="17" t="str">
        <f aca="false">IF($D460="","",F460*Configuración!$B$9)</f>
        <v/>
      </c>
      <c r="J460" s="17" t="str">
        <f aca="false">IF($D460="","",F460-I460)</f>
        <v/>
      </c>
      <c r="K460" s="17" t="str">
        <f aca="false">IF($D460="","",J460*Configuración!$C$4)</f>
        <v/>
      </c>
      <c r="L460" s="17" t="str">
        <f aca="false">IF($D460="","",J460*Configuración!$C$5)</f>
        <v/>
      </c>
    </row>
    <row r="461" customFormat="false" ht="15" hidden="false" customHeight="false" outlineLevel="0" collapsed="false">
      <c r="A461" s="15"/>
      <c r="B461" s="14"/>
      <c r="C461" s="14"/>
      <c r="D461" s="16"/>
      <c r="E461" s="14"/>
      <c r="F461" s="17" t="str">
        <f aca="false">IF($D461="","",IF(Configuración!$B$10="Sí",$D461/(1+Configuración!$B$8),$D461))</f>
        <v/>
      </c>
      <c r="G461" s="17" t="str">
        <f aca="false">IF($D461="","",F461*Configuración!$B$8)</f>
        <v/>
      </c>
      <c r="H461" s="17" t="str">
        <f aca="false">IF($D461="","",F461+G461)</f>
        <v/>
      </c>
      <c r="I461" s="17" t="str">
        <f aca="false">IF($D461="","",F461*Configuración!$B$9)</f>
        <v/>
      </c>
      <c r="J461" s="17" t="str">
        <f aca="false">IF($D461="","",F461-I461)</f>
        <v/>
      </c>
      <c r="K461" s="17" t="str">
        <f aca="false">IF($D461="","",J461*Configuración!$C$4)</f>
        <v/>
      </c>
      <c r="L461" s="17" t="str">
        <f aca="false">IF($D461="","",J461*Configuración!$C$5)</f>
        <v/>
      </c>
    </row>
    <row r="462" customFormat="false" ht="15" hidden="false" customHeight="false" outlineLevel="0" collapsed="false">
      <c r="A462" s="15"/>
      <c r="B462" s="14"/>
      <c r="C462" s="14"/>
      <c r="D462" s="16"/>
      <c r="E462" s="14"/>
      <c r="F462" s="17" t="str">
        <f aca="false">IF($D462="","",IF(Configuración!$B$10="Sí",$D462/(1+Configuración!$B$8),$D462))</f>
        <v/>
      </c>
      <c r="G462" s="17" t="str">
        <f aca="false">IF($D462="","",F462*Configuración!$B$8)</f>
        <v/>
      </c>
      <c r="H462" s="17" t="str">
        <f aca="false">IF($D462="","",F462+G462)</f>
        <v/>
      </c>
      <c r="I462" s="17" t="str">
        <f aca="false">IF($D462="","",F462*Configuración!$B$9)</f>
        <v/>
      </c>
      <c r="J462" s="17" t="str">
        <f aca="false">IF($D462="","",F462-I462)</f>
        <v/>
      </c>
      <c r="K462" s="17" t="str">
        <f aca="false">IF($D462="","",J462*Configuración!$C$4)</f>
        <v/>
      </c>
      <c r="L462" s="17" t="str">
        <f aca="false">IF($D462="","",J462*Configuración!$C$5)</f>
        <v/>
      </c>
    </row>
    <row r="463" customFormat="false" ht="15" hidden="false" customHeight="false" outlineLevel="0" collapsed="false">
      <c r="A463" s="15"/>
      <c r="B463" s="14"/>
      <c r="C463" s="14"/>
      <c r="D463" s="16"/>
      <c r="E463" s="14"/>
      <c r="F463" s="17" t="str">
        <f aca="false">IF($D463="","",IF(Configuración!$B$10="Sí",$D463/(1+Configuración!$B$8),$D463))</f>
        <v/>
      </c>
      <c r="G463" s="17" t="str">
        <f aca="false">IF($D463="","",F463*Configuración!$B$8)</f>
        <v/>
      </c>
      <c r="H463" s="17" t="str">
        <f aca="false">IF($D463="","",F463+G463)</f>
        <v/>
      </c>
      <c r="I463" s="17" t="str">
        <f aca="false">IF($D463="","",F463*Configuración!$B$9)</f>
        <v/>
      </c>
      <c r="J463" s="17" t="str">
        <f aca="false">IF($D463="","",F463-I463)</f>
        <v/>
      </c>
      <c r="K463" s="17" t="str">
        <f aca="false">IF($D463="","",J463*Configuración!$C$4)</f>
        <v/>
      </c>
      <c r="L463" s="17" t="str">
        <f aca="false">IF($D463="","",J463*Configuración!$C$5)</f>
        <v/>
      </c>
    </row>
    <row r="464" customFormat="false" ht="15" hidden="false" customHeight="false" outlineLevel="0" collapsed="false">
      <c r="A464" s="15"/>
      <c r="B464" s="14"/>
      <c r="C464" s="14"/>
      <c r="D464" s="16"/>
      <c r="E464" s="14"/>
      <c r="F464" s="17" t="str">
        <f aca="false">IF($D464="","",IF(Configuración!$B$10="Sí",$D464/(1+Configuración!$B$8),$D464))</f>
        <v/>
      </c>
      <c r="G464" s="17" t="str">
        <f aca="false">IF($D464="","",F464*Configuración!$B$8)</f>
        <v/>
      </c>
      <c r="H464" s="17" t="str">
        <f aca="false">IF($D464="","",F464+G464)</f>
        <v/>
      </c>
      <c r="I464" s="17" t="str">
        <f aca="false">IF($D464="","",F464*Configuración!$B$9)</f>
        <v/>
      </c>
      <c r="J464" s="17" t="str">
        <f aca="false">IF($D464="","",F464-I464)</f>
        <v/>
      </c>
      <c r="K464" s="17" t="str">
        <f aca="false">IF($D464="","",J464*Configuración!$C$4)</f>
        <v/>
      </c>
      <c r="L464" s="17" t="str">
        <f aca="false">IF($D464="","",J464*Configuración!$C$5)</f>
        <v/>
      </c>
    </row>
    <row r="465" customFormat="false" ht="15" hidden="false" customHeight="false" outlineLevel="0" collapsed="false">
      <c r="A465" s="15"/>
      <c r="B465" s="14"/>
      <c r="C465" s="14"/>
      <c r="D465" s="16"/>
      <c r="E465" s="14"/>
      <c r="F465" s="17" t="str">
        <f aca="false">IF($D465="","",IF(Configuración!$B$10="Sí",$D465/(1+Configuración!$B$8),$D465))</f>
        <v/>
      </c>
      <c r="G465" s="17" t="str">
        <f aca="false">IF($D465="","",F465*Configuración!$B$8)</f>
        <v/>
      </c>
      <c r="H465" s="17" t="str">
        <f aca="false">IF($D465="","",F465+G465)</f>
        <v/>
      </c>
      <c r="I465" s="17" t="str">
        <f aca="false">IF($D465="","",F465*Configuración!$B$9)</f>
        <v/>
      </c>
      <c r="J465" s="17" t="str">
        <f aca="false">IF($D465="","",F465-I465)</f>
        <v/>
      </c>
      <c r="K465" s="17" t="str">
        <f aca="false">IF($D465="","",J465*Configuración!$C$4)</f>
        <v/>
      </c>
      <c r="L465" s="17" t="str">
        <f aca="false">IF($D465="","",J465*Configuración!$C$5)</f>
        <v/>
      </c>
    </row>
    <row r="466" customFormat="false" ht="15" hidden="false" customHeight="false" outlineLevel="0" collapsed="false">
      <c r="A466" s="15"/>
      <c r="B466" s="14"/>
      <c r="C466" s="14"/>
      <c r="D466" s="16"/>
      <c r="E466" s="14"/>
      <c r="F466" s="17" t="str">
        <f aca="false">IF($D466="","",IF(Configuración!$B$10="Sí",$D466/(1+Configuración!$B$8),$D466))</f>
        <v/>
      </c>
      <c r="G466" s="17" t="str">
        <f aca="false">IF($D466="","",F466*Configuración!$B$8)</f>
        <v/>
      </c>
      <c r="H466" s="17" t="str">
        <f aca="false">IF($D466="","",F466+G466)</f>
        <v/>
      </c>
      <c r="I466" s="17" t="str">
        <f aca="false">IF($D466="","",F466*Configuración!$B$9)</f>
        <v/>
      </c>
      <c r="J466" s="17" t="str">
        <f aca="false">IF($D466="","",F466-I466)</f>
        <v/>
      </c>
      <c r="K466" s="17" t="str">
        <f aca="false">IF($D466="","",J466*Configuración!$C$4)</f>
        <v/>
      </c>
      <c r="L466" s="17" t="str">
        <f aca="false">IF($D466="","",J466*Configuración!$C$5)</f>
        <v/>
      </c>
    </row>
    <row r="467" customFormat="false" ht="15" hidden="false" customHeight="false" outlineLevel="0" collapsed="false">
      <c r="A467" s="15"/>
      <c r="B467" s="14"/>
      <c r="C467" s="14"/>
      <c r="D467" s="16"/>
      <c r="E467" s="14"/>
      <c r="F467" s="17" t="str">
        <f aca="false">IF($D467="","",IF(Configuración!$B$10="Sí",$D467/(1+Configuración!$B$8),$D467))</f>
        <v/>
      </c>
      <c r="G467" s="17" t="str">
        <f aca="false">IF($D467="","",F467*Configuración!$B$8)</f>
        <v/>
      </c>
      <c r="H467" s="17" t="str">
        <f aca="false">IF($D467="","",F467+G467)</f>
        <v/>
      </c>
      <c r="I467" s="17" t="str">
        <f aca="false">IF($D467="","",F467*Configuración!$B$9)</f>
        <v/>
      </c>
      <c r="J467" s="17" t="str">
        <f aca="false">IF($D467="","",F467-I467)</f>
        <v/>
      </c>
      <c r="K467" s="17" t="str">
        <f aca="false">IF($D467="","",J467*Configuración!$C$4)</f>
        <v/>
      </c>
      <c r="L467" s="17" t="str">
        <f aca="false">IF($D467="","",J467*Configuración!$C$5)</f>
        <v/>
      </c>
    </row>
    <row r="468" customFormat="false" ht="15" hidden="false" customHeight="false" outlineLevel="0" collapsed="false">
      <c r="A468" s="15"/>
      <c r="B468" s="14"/>
      <c r="C468" s="14"/>
      <c r="D468" s="16"/>
      <c r="E468" s="14"/>
      <c r="F468" s="17" t="str">
        <f aca="false">IF($D468="","",IF(Configuración!$B$10="Sí",$D468/(1+Configuración!$B$8),$D468))</f>
        <v/>
      </c>
      <c r="G468" s="17" t="str">
        <f aca="false">IF($D468="","",F468*Configuración!$B$8)</f>
        <v/>
      </c>
      <c r="H468" s="17" t="str">
        <f aca="false">IF($D468="","",F468+G468)</f>
        <v/>
      </c>
      <c r="I468" s="17" t="str">
        <f aca="false">IF($D468="","",F468*Configuración!$B$9)</f>
        <v/>
      </c>
      <c r="J468" s="17" t="str">
        <f aca="false">IF($D468="","",F468-I468)</f>
        <v/>
      </c>
      <c r="K468" s="17" t="str">
        <f aca="false">IF($D468="","",J468*Configuración!$C$4)</f>
        <v/>
      </c>
      <c r="L468" s="17" t="str">
        <f aca="false">IF($D468="","",J468*Configuración!$C$5)</f>
        <v/>
      </c>
    </row>
    <row r="469" customFormat="false" ht="15" hidden="false" customHeight="false" outlineLevel="0" collapsed="false">
      <c r="A469" s="15"/>
      <c r="B469" s="14"/>
      <c r="C469" s="14"/>
      <c r="D469" s="16"/>
      <c r="E469" s="14"/>
      <c r="F469" s="17" t="str">
        <f aca="false">IF($D469="","",IF(Configuración!$B$10="Sí",$D469/(1+Configuración!$B$8),$D469))</f>
        <v/>
      </c>
      <c r="G469" s="17" t="str">
        <f aca="false">IF($D469="","",F469*Configuración!$B$8)</f>
        <v/>
      </c>
      <c r="H469" s="17" t="str">
        <f aca="false">IF($D469="","",F469+G469)</f>
        <v/>
      </c>
      <c r="I469" s="17" t="str">
        <f aca="false">IF($D469="","",F469*Configuración!$B$9)</f>
        <v/>
      </c>
      <c r="J469" s="17" t="str">
        <f aca="false">IF($D469="","",F469-I469)</f>
        <v/>
      </c>
      <c r="K469" s="17" t="str">
        <f aca="false">IF($D469="","",J469*Configuración!$C$4)</f>
        <v/>
      </c>
      <c r="L469" s="17" t="str">
        <f aca="false">IF($D469="","",J469*Configuración!$C$5)</f>
        <v/>
      </c>
    </row>
    <row r="470" customFormat="false" ht="15" hidden="false" customHeight="false" outlineLevel="0" collapsed="false">
      <c r="A470" s="15"/>
      <c r="B470" s="14"/>
      <c r="C470" s="14"/>
      <c r="D470" s="16"/>
      <c r="E470" s="14"/>
      <c r="F470" s="17" t="str">
        <f aca="false">IF($D470="","",IF(Configuración!$B$10="Sí",$D470/(1+Configuración!$B$8),$D470))</f>
        <v/>
      </c>
      <c r="G470" s="17" t="str">
        <f aca="false">IF($D470="","",F470*Configuración!$B$8)</f>
        <v/>
      </c>
      <c r="H470" s="17" t="str">
        <f aca="false">IF($D470="","",F470+G470)</f>
        <v/>
      </c>
      <c r="I470" s="17" t="str">
        <f aca="false">IF($D470="","",F470*Configuración!$B$9)</f>
        <v/>
      </c>
      <c r="J470" s="17" t="str">
        <f aca="false">IF($D470="","",F470-I470)</f>
        <v/>
      </c>
      <c r="K470" s="17" t="str">
        <f aca="false">IF($D470="","",J470*Configuración!$C$4)</f>
        <v/>
      </c>
      <c r="L470" s="17" t="str">
        <f aca="false">IF($D470="","",J470*Configuración!$C$5)</f>
        <v/>
      </c>
    </row>
    <row r="471" customFormat="false" ht="15" hidden="false" customHeight="false" outlineLevel="0" collapsed="false">
      <c r="A471" s="15"/>
      <c r="B471" s="14"/>
      <c r="C471" s="14"/>
      <c r="D471" s="16"/>
      <c r="E471" s="14"/>
      <c r="F471" s="17" t="str">
        <f aca="false">IF($D471="","",IF(Configuración!$B$10="Sí",$D471/(1+Configuración!$B$8),$D471))</f>
        <v/>
      </c>
      <c r="G471" s="17" t="str">
        <f aca="false">IF($D471="","",F471*Configuración!$B$8)</f>
        <v/>
      </c>
      <c r="H471" s="17" t="str">
        <f aca="false">IF($D471="","",F471+G471)</f>
        <v/>
      </c>
      <c r="I471" s="17" t="str">
        <f aca="false">IF($D471="","",F471*Configuración!$B$9)</f>
        <v/>
      </c>
      <c r="J471" s="17" t="str">
        <f aca="false">IF($D471="","",F471-I471)</f>
        <v/>
      </c>
      <c r="K471" s="17" t="str">
        <f aca="false">IF($D471="","",J471*Configuración!$C$4)</f>
        <v/>
      </c>
      <c r="L471" s="17" t="str">
        <f aca="false">IF($D471="","",J471*Configuración!$C$5)</f>
        <v/>
      </c>
    </row>
    <row r="472" customFormat="false" ht="15" hidden="false" customHeight="false" outlineLevel="0" collapsed="false">
      <c r="A472" s="15"/>
      <c r="B472" s="14"/>
      <c r="C472" s="14"/>
      <c r="D472" s="16"/>
      <c r="E472" s="14"/>
      <c r="F472" s="17" t="str">
        <f aca="false">IF($D472="","",IF(Configuración!$B$10="Sí",$D472/(1+Configuración!$B$8),$D472))</f>
        <v/>
      </c>
      <c r="G472" s="17" t="str">
        <f aca="false">IF($D472="","",F472*Configuración!$B$8)</f>
        <v/>
      </c>
      <c r="H472" s="17" t="str">
        <f aca="false">IF($D472="","",F472+G472)</f>
        <v/>
      </c>
      <c r="I472" s="17" t="str">
        <f aca="false">IF($D472="","",F472*Configuración!$B$9)</f>
        <v/>
      </c>
      <c r="J472" s="17" t="str">
        <f aca="false">IF($D472="","",F472-I472)</f>
        <v/>
      </c>
      <c r="K472" s="17" t="str">
        <f aca="false">IF($D472="","",J472*Configuración!$C$4)</f>
        <v/>
      </c>
      <c r="L472" s="17" t="str">
        <f aca="false">IF($D472="","",J472*Configuración!$C$5)</f>
        <v/>
      </c>
    </row>
    <row r="473" customFormat="false" ht="15" hidden="false" customHeight="false" outlineLevel="0" collapsed="false">
      <c r="A473" s="15"/>
      <c r="B473" s="14"/>
      <c r="C473" s="14"/>
      <c r="D473" s="16"/>
      <c r="E473" s="14"/>
      <c r="F473" s="17" t="str">
        <f aca="false">IF($D473="","",IF(Configuración!$B$10="Sí",$D473/(1+Configuración!$B$8),$D473))</f>
        <v/>
      </c>
      <c r="G473" s="17" t="str">
        <f aca="false">IF($D473="","",F473*Configuración!$B$8)</f>
        <v/>
      </c>
      <c r="H473" s="17" t="str">
        <f aca="false">IF($D473="","",F473+G473)</f>
        <v/>
      </c>
      <c r="I473" s="17" t="str">
        <f aca="false">IF($D473="","",F473*Configuración!$B$9)</f>
        <v/>
      </c>
      <c r="J473" s="17" t="str">
        <f aca="false">IF($D473="","",F473-I473)</f>
        <v/>
      </c>
      <c r="K473" s="17" t="str">
        <f aca="false">IF($D473="","",J473*Configuración!$C$4)</f>
        <v/>
      </c>
      <c r="L473" s="17" t="str">
        <f aca="false">IF($D473="","",J473*Configuración!$C$5)</f>
        <v/>
      </c>
    </row>
    <row r="474" customFormat="false" ht="15" hidden="false" customHeight="false" outlineLevel="0" collapsed="false">
      <c r="A474" s="15"/>
      <c r="B474" s="14"/>
      <c r="C474" s="14"/>
      <c r="D474" s="16"/>
      <c r="E474" s="14"/>
      <c r="F474" s="17" t="str">
        <f aca="false">IF($D474="","",IF(Configuración!$B$10="Sí",$D474/(1+Configuración!$B$8),$D474))</f>
        <v/>
      </c>
      <c r="G474" s="17" t="str">
        <f aca="false">IF($D474="","",F474*Configuración!$B$8)</f>
        <v/>
      </c>
      <c r="H474" s="17" t="str">
        <f aca="false">IF($D474="","",F474+G474)</f>
        <v/>
      </c>
      <c r="I474" s="17" t="str">
        <f aca="false">IF($D474="","",F474*Configuración!$B$9)</f>
        <v/>
      </c>
      <c r="J474" s="17" t="str">
        <f aca="false">IF($D474="","",F474-I474)</f>
        <v/>
      </c>
      <c r="K474" s="17" t="str">
        <f aca="false">IF($D474="","",J474*Configuración!$C$4)</f>
        <v/>
      </c>
      <c r="L474" s="17" t="str">
        <f aca="false">IF($D474="","",J474*Configuración!$C$5)</f>
        <v/>
      </c>
    </row>
    <row r="475" customFormat="false" ht="15" hidden="false" customHeight="false" outlineLevel="0" collapsed="false">
      <c r="A475" s="15"/>
      <c r="B475" s="14"/>
      <c r="C475" s="14"/>
      <c r="D475" s="16"/>
      <c r="E475" s="14"/>
      <c r="F475" s="17" t="str">
        <f aca="false">IF($D475="","",IF(Configuración!$B$10="Sí",$D475/(1+Configuración!$B$8),$D475))</f>
        <v/>
      </c>
      <c r="G475" s="17" t="str">
        <f aca="false">IF($D475="","",F475*Configuración!$B$8)</f>
        <v/>
      </c>
      <c r="H475" s="17" t="str">
        <f aca="false">IF($D475="","",F475+G475)</f>
        <v/>
      </c>
      <c r="I475" s="17" t="str">
        <f aca="false">IF($D475="","",F475*Configuración!$B$9)</f>
        <v/>
      </c>
      <c r="J475" s="17" t="str">
        <f aca="false">IF($D475="","",F475-I475)</f>
        <v/>
      </c>
      <c r="K475" s="17" t="str">
        <f aca="false">IF($D475="","",J475*Configuración!$C$4)</f>
        <v/>
      </c>
      <c r="L475" s="17" t="str">
        <f aca="false">IF($D475="","",J475*Configuración!$C$5)</f>
        <v/>
      </c>
    </row>
    <row r="476" customFormat="false" ht="15" hidden="false" customHeight="false" outlineLevel="0" collapsed="false">
      <c r="A476" s="15"/>
      <c r="B476" s="14"/>
      <c r="C476" s="14"/>
      <c r="D476" s="16"/>
      <c r="E476" s="14"/>
      <c r="F476" s="17" t="str">
        <f aca="false">IF($D476="","",IF(Configuración!$B$10="Sí",$D476/(1+Configuración!$B$8),$D476))</f>
        <v/>
      </c>
      <c r="G476" s="17" t="str">
        <f aca="false">IF($D476="","",F476*Configuración!$B$8)</f>
        <v/>
      </c>
      <c r="H476" s="17" t="str">
        <f aca="false">IF($D476="","",F476+G476)</f>
        <v/>
      </c>
      <c r="I476" s="17" t="str">
        <f aca="false">IF($D476="","",F476*Configuración!$B$9)</f>
        <v/>
      </c>
      <c r="J476" s="17" t="str">
        <f aca="false">IF($D476="","",F476-I476)</f>
        <v/>
      </c>
      <c r="K476" s="17" t="str">
        <f aca="false">IF($D476="","",J476*Configuración!$C$4)</f>
        <v/>
      </c>
      <c r="L476" s="17" t="str">
        <f aca="false">IF($D476="","",J476*Configuración!$C$5)</f>
        <v/>
      </c>
    </row>
    <row r="477" customFormat="false" ht="15" hidden="false" customHeight="false" outlineLevel="0" collapsed="false">
      <c r="A477" s="15"/>
      <c r="B477" s="14"/>
      <c r="C477" s="14"/>
      <c r="D477" s="16"/>
      <c r="E477" s="14"/>
      <c r="F477" s="17" t="str">
        <f aca="false">IF($D477="","",IF(Configuración!$B$10="Sí",$D477/(1+Configuración!$B$8),$D477))</f>
        <v/>
      </c>
      <c r="G477" s="17" t="str">
        <f aca="false">IF($D477="","",F477*Configuración!$B$8)</f>
        <v/>
      </c>
      <c r="H477" s="17" t="str">
        <f aca="false">IF($D477="","",F477+G477)</f>
        <v/>
      </c>
      <c r="I477" s="17" t="str">
        <f aca="false">IF($D477="","",F477*Configuración!$B$9)</f>
        <v/>
      </c>
      <c r="J477" s="17" t="str">
        <f aca="false">IF($D477="","",F477-I477)</f>
        <v/>
      </c>
      <c r="K477" s="17" t="str">
        <f aca="false">IF($D477="","",J477*Configuración!$C$4)</f>
        <v/>
      </c>
      <c r="L477" s="17" t="str">
        <f aca="false">IF($D477="","",J477*Configuración!$C$5)</f>
        <v/>
      </c>
    </row>
    <row r="478" customFormat="false" ht="15" hidden="false" customHeight="false" outlineLevel="0" collapsed="false">
      <c r="A478" s="15"/>
      <c r="B478" s="14"/>
      <c r="C478" s="14"/>
      <c r="D478" s="16"/>
      <c r="E478" s="14"/>
      <c r="F478" s="17" t="str">
        <f aca="false">IF($D478="","",IF(Configuración!$B$10="Sí",$D478/(1+Configuración!$B$8),$D478))</f>
        <v/>
      </c>
      <c r="G478" s="17" t="str">
        <f aca="false">IF($D478="","",F478*Configuración!$B$8)</f>
        <v/>
      </c>
      <c r="H478" s="17" t="str">
        <f aca="false">IF($D478="","",F478+G478)</f>
        <v/>
      </c>
      <c r="I478" s="17" t="str">
        <f aca="false">IF($D478="","",F478*Configuración!$B$9)</f>
        <v/>
      </c>
      <c r="J478" s="17" t="str">
        <f aca="false">IF($D478="","",F478-I478)</f>
        <v/>
      </c>
      <c r="K478" s="17" t="str">
        <f aca="false">IF($D478="","",J478*Configuración!$C$4)</f>
        <v/>
      </c>
      <c r="L478" s="17" t="str">
        <f aca="false">IF($D478="","",J478*Configuración!$C$5)</f>
        <v/>
      </c>
    </row>
    <row r="479" customFormat="false" ht="15" hidden="false" customHeight="false" outlineLevel="0" collapsed="false">
      <c r="A479" s="15"/>
      <c r="B479" s="14"/>
      <c r="C479" s="14"/>
      <c r="D479" s="16"/>
      <c r="E479" s="14"/>
      <c r="F479" s="17" t="str">
        <f aca="false">IF($D479="","",IF(Configuración!$B$10="Sí",$D479/(1+Configuración!$B$8),$D479))</f>
        <v/>
      </c>
      <c r="G479" s="17" t="str">
        <f aca="false">IF($D479="","",F479*Configuración!$B$8)</f>
        <v/>
      </c>
      <c r="H479" s="17" t="str">
        <f aca="false">IF($D479="","",F479+G479)</f>
        <v/>
      </c>
      <c r="I479" s="17" t="str">
        <f aca="false">IF($D479="","",F479*Configuración!$B$9)</f>
        <v/>
      </c>
      <c r="J479" s="17" t="str">
        <f aca="false">IF($D479="","",F479-I479)</f>
        <v/>
      </c>
      <c r="K479" s="17" t="str">
        <f aca="false">IF($D479="","",J479*Configuración!$C$4)</f>
        <v/>
      </c>
      <c r="L479" s="17" t="str">
        <f aca="false">IF($D479="","",J479*Configuración!$C$5)</f>
        <v/>
      </c>
    </row>
    <row r="480" customFormat="false" ht="15" hidden="false" customHeight="false" outlineLevel="0" collapsed="false">
      <c r="A480" s="15"/>
      <c r="B480" s="14"/>
      <c r="C480" s="14"/>
      <c r="D480" s="16"/>
      <c r="E480" s="14"/>
      <c r="F480" s="17" t="str">
        <f aca="false">IF($D480="","",IF(Configuración!$B$10="Sí",$D480/(1+Configuración!$B$8),$D480))</f>
        <v/>
      </c>
      <c r="G480" s="17" t="str">
        <f aca="false">IF($D480="","",F480*Configuración!$B$8)</f>
        <v/>
      </c>
      <c r="H480" s="17" t="str">
        <f aca="false">IF($D480="","",F480+G480)</f>
        <v/>
      </c>
      <c r="I480" s="17" t="str">
        <f aca="false">IF($D480="","",F480*Configuración!$B$9)</f>
        <v/>
      </c>
      <c r="J480" s="17" t="str">
        <f aca="false">IF($D480="","",F480-I480)</f>
        <v/>
      </c>
      <c r="K480" s="17" t="str">
        <f aca="false">IF($D480="","",J480*Configuración!$C$4)</f>
        <v/>
      </c>
      <c r="L480" s="17" t="str">
        <f aca="false">IF($D480="","",J480*Configuración!$C$5)</f>
        <v/>
      </c>
    </row>
    <row r="481" customFormat="false" ht="15" hidden="false" customHeight="false" outlineLevel="0" collapsed="false">
      <c r="A481" s="15"/>
      <c r="B481" s="14"/>
      <c r="C481" s="14"/>
      <c r="D481" s="16"/>
      <c r="E481" s="14"/>
      <c r="F481" s="17" t="str">
        <f aca="false">IF($D481="","",IF(Configuración!$B$10="Sí",$D481/(1+Configuración!$B$8),$D481))</f>
        <v/>
      </c>
      <c r="G481" s="17" t="str">
        <f aca="false">IF($D481="","",F481*Configuración!$B$8)</f>
        <v/>
      </c>
      <c r="H481" s="17" t="str">
        <f aca="false">IF($D481="","",F481+G481)</f>
        <v/>
      </c>
      <c r="I481" s="17" t="str">
        <f aca="false">IF($D481="","",F481*Configuración!$B$9)</f>
        <v/>
      </c>
      <c r="J481" s="17" t="str">
        <f aca="false">IF($D481="","",F481-I481)</f>
        <v/>
      </c>
      <c r="K481" s="17" t="str">
        <f aca="false">IF($D481="","",J481*Configuración!$C$4)</f>
        <v/>
      </c>
      <c r="L481" s="17" t="str">
        <f aca="false">IF($D481="","",J481*Configuración!$C$5)</f>
        <v/>
      </c>
    </row>
    <row r="482" customFormat="false" ht="15" hidden="false" customHeight="false" outlineLevel="0" collapsed="false">
      <c r="A482" s="15"/>
      <c r="B482" s="14"/>
      <c r="C482" s="14"/>
      <c r="D482" s="16"/>
      <c r="E482" s="14"/>
      <c r="F482" s="17" t="str">
        <f aca="false">IF($D482="","",IF(Configuración!$B$10="Sí",$D482/(1+Configuración!$B$8),$D482))</f>
        <v/>
      </c>
      <c r="G482" s="17" t="str">
        <f aca="false">IF($D482="","",F482*Configuración!$B$8)</f>
        <v/>
      </c>
      <c r="H482" s="17" t="str">
        <f aca="false">IF($D482="","",F482+G482)</f>
        <v/>
      </c>
      <c r="I482" s="17" t="str">
        <f aca="false">IF($D482="","",F482*Configuración!$B$9)</f>
        <v/>
      </c>
      <c r="J482" s="17" t="str">
        <f aca="false">IF($D482="","",F482-I482)</f>
        <v/>
      </c>
      <c r="K482" s="17" t="str">
        <f aca="false">IF($D482="","",J482*Configuración!$C$4)</f>
        <v/>
      </c>
      <c r="L482" s="17" t="str">
        <f aca="false">IF($D482="","",J482*Configuración!$C$5)</f>
        <v/>
      </c>
    </row>
    <row r="483" customFormat="false" ht="15" hidden="false" customHeight="false" outlineLevel="0" collapsed="false">
      <c r="A483" s="15"/>
      <c r="B483" s="14"/>
      <c r="C483" s="14"/>
      <c r="D483" s="16"/>
      <c r="E483" s="14"/>
      <c r="F483" s="17" t="str">
        <f aca="false">IF($D483="","",IF(Configuración!$B$10="Sí",$D483/(1+Configuración!$B$8),$D483))</f>
        <v/>
      </c>
      <c r="G483" s="17" t="str">
        <f aca="false">IF($D483="","",F483*Configuración!$B$8)</f>
        <v/>
      </c>
      <c r="H483" s="17" t="str">
        <f aca="false">IF($D483="","",F483+G483)</f>
        <v/>
      </c>
      <c r="I483" s="17" t="str">
        <f aca="false">IF($D483="","",F483*Configuración!$B$9)</f>
        <v/>
      </c>
      <c r="J483" s="17" t="str">
        <f aca="false">IF($D483="","",F483-I483)</f>
        <v/>
      </c>
      <c r="K483" s="17" t="str">
        <f aca="false">IF($D483="","",J483*Configuración!$C$4)</f>
        <v/>
      </c>
      <c r="L483" s="17" t="str">
        <f aca="false">IF($D483="","",J483*Configuración!$C$5)</f>
        <v/>
      </c>
    </row>
    <row r="484" customFormat="false" ht="15" hidden="false" customHeight="false" outlineLevel="0" collapsed="false">
      <c r="A484" s="15"/>
      <c r="B484" s="14"/>
      <c r="C484" s="14"/>
      <c r="D484" s="16"/>
      <c r="E484" s="14"/>
      <c r="F484" s="17" t="str">
        <f aca="false">IF($D484="","",IF(Configuración!$B$10="Sí",$D484/(1+Configuración!$B$8),$D484))</f>
        <v/>
      </c>
      <c r="G484" s="17" t="str">
        <f aca="false">IF($D484="","",F484*Configuración!$B$8)</f>
        <v/>
      </c>
      <c r="H484" s="17" t="str">
        <f aca="false">IF($D484="","",F484+G484)</f>
        <v/>
      </c>
      <c r="I484" s="17" t="str">
        <f aca="false">IF($D484="","",F484*Configuración!$B$9)</f>
        <v/>
      </c>
      <c r="J484" s="17" t="str">
        <f aca="false">IF($D484="","",F484-I484)</f>
        <v/>
      </c>
      <c r="K484" s="17" t="str">
        <f aca="false">IF($D484="","",J484*Configuración!$C$4)</f>
        <v/>
      </c>
      <c r="L484" s="17" t="str">
        <f aca="false">IF($D484="","",J484*Configuración!$C$5)</f>
        <v/>
      </c>
    </row>
    <row r="485" customFormat="false" ht="15" hidden="false" customHeight="false" outlineLevel="0" collapsed="false">
      <c r="A485" s="15"/>
      <c r="B485" s="14"/>
      <c r="C485" s="14"/>
      <c r="D485" s="16"/>
      <c r="E485" s="14"/>
      <c r="F485" s="17" t="str">
        <f aca="false">IF($D485="","",IF(Configuración!$B$10="Sí",$D485/(1+Configuración!$B$8),$D485))</f>
        <v/>
      </c>
      <c r="G485" s="17" t="str">
        <f aca="false">IF($D485="","",F485*Configuración!$B$8)</f>
        <v/>
      </c>
      <c r="H485" s="17" t="str">
        <f aca="false">IF($D485="","",F485+G485)</f>
        <v/>
      </c>
      <c r="I485" s="17" t="str">
        <f aca="false">IF($D485="","",F485*Configuración!$B$9)</f>
        <v/>
      </c>
      <c r="J485" s="17" t="str">
        <f aca="false">IF($D485="","",F485-I485)</f>
        <v/>
      </c>
      <c r="K485" s="17" t="str">
        <f aca="false">IF($D485="","",J485*Configuración!$C$4)</f>
        <v/>
      </c>
      <c r="L485" s="17" t="str">
        <f aca="false">IF($D485="","",J485*Configuración!$C$5)</f>
        <v/>
      </c>
    </row>
    <row r="486" customFormat="false" ht="15" hidden="false" customHeight="false" outlineLevel="0" collapsed="false">
      <c r="A486" s="15"/>
      <c r="B486" s="14"/>
      <c r="C486" s="14"/>
      <c r="D486" s="16"/>
      <c r="E486" s="14"/>
      <c r="F486" s="17" t="str">
        <f aca="false">IF($D486="","",IF(Configuración!$B$10="Sí",$D486/(1+Configuración!$B$8),$D486))</f>
        <v/>
      </c>
      <c r="G486" s="17" t="str">
        <f aca="false">IF($D486="","",F486*Configuración!$B$8)</f>
        <v/>
      </c>
      <c r="H486" s="17" t="str">
        <f aca="false">IF($D486="","",F486+G486)</f>
        <v/>
      </c>
      <c r="I486" s="17" t="str">
        <f aca="false">IF($D486="","",F486*Configuración!$B$9)</f>
        <v/>
      </c>
      <c r="J486" s="17" t="str">
        <f aca="false">IF($D486="","",F486-I486)</f>
        <v/>
      </c>
      <c r="K486" s="17" t="str">
        <f aca="false">IF($D486="","",J486*Configuración!$C$4)</f>
        <v/>
      </c>
      <c r="L486" s="17" t="str">
        <f aca="false">IF($D486="","",J486*Configuración!$C$5)</f>
        <v/>
      </c>
    </row>
    <row r="487" customFormat="false" ht="15" hidden="false" customHeight="false" outlineLevel="0" collapsed="false">
      <c r="A487" s="15"/>
      <c r="B487" s="14"/>
      <c r="C487" s="14"/>
      <c r="D487" s="16"/>
      <c r="E487" s="14"/>
      <c r="F487" s="17" t="str">
        <f aca="false">IF($D487="","",IF(Configuración!$B$10="Sí",$D487/(1+Configuración!$B$8),$D487))</f>
        <v/>
      </c>
      <c r="G487" s="17" t="str">
        <f aca="false">IF($D487="","",F487*Configuración!$B$8)</f>
        <v/>
      </c>
      <c r="H487" s="17" t="str">
        <f aca="false">IF($D487="","",F487+G487)</f>
        <v/>
      </c>
      <c r="I487" s="17" t="str">
        <f aca="false">IF($D487="","",F487*Configuración!$B$9)</f>
        <v/>
      </c>
      <c r="J487" s="17" t="str">
        <f aca="false">IF($D487="","",F487-I487)</f>
        <v/>
      </c>
      <c r="K487" s="17" t="str">
        <f aca="false">IF($D487="","",J487*Configuración!$C$4)</f>
        <v/>
      </c>
      <c r="L487" s="17" t="str">
        <f aca="false">IF($D487="","",J487*Configuración!$C$5)</f>
        <v/>
      </c>
    </row>
    <row r="488" customFormat="false" ht="15" hidden="false" customHeight="false" outlineLevel="0" collapsed="false">
      <c r="A488" s="15"/>
      <c r="B488" s="14"/>
      <c r="C488" s="14"/>
      <c r="D488" s="16"/>
      <c r="E488" s="14"/>
      <c r="F488" s="17" t="str">
        <f aca="false">IF($D488="","",IF(Configuración!$B$10="Sí",$D488/(1+Configuración!$B$8),$D488))</f>
        <v/>
      </c>
      <c r="G488" s="17" t="str">
        <f aca="false">IF($D488="","",F488*Configuración!$B$8)</f>
        <v/>
      </c>
      <c r="H488" s="17" t="str">
        <f aca="false">IF($D488="","",F488+G488)</f>
        <v/>
      </c>
      <c r="I488" s="17" t="str">
        <f aca="false">IF($D488="","",F488*Configuración!$B$9)</f>
        <v/>
      </c>
      <c r="J488" s="17" t="str">
        <f aca="false">IF($D488="","",F488-I488)</f>
        <v/>
      </c>
      <c r="K488" s="17" t="str">
        <f aca="false">IF($D488="","",J488*Configuración!$C$4)</f>
        <v/>
      </c>
      <c r="L488" s="17" t="str">
        <f aca="false">IF($D488="","",J488*Configuración!$C$5)</f>
        <v/>
      </c>
    </row>
    <row r="489" customFormat="false" ht="15" hidden="false" customHeight="false" outlineLevel="0" collapsed="false">
      <c r="A489" s="15"/>
      <c r="B489" s="14"/>
      <c r="C489" s="14"/>
      <c r="D489" s="16"/>
      <c r="E489" s="14"/>
      <c r="F489" s="17" t="str">
        <f aca="false">IF($D489="","",IF(Configuración!$B$10="Sí",$D489/(1+Configuración!$B$8),$D489))</f>
        <v/>
      </c>
      <c r="G489" s="17" t="str">
        <f aca="false">IF($D489="","",F489*Configuración!$B$8)</f>
        <v/>
      </c>
      <c r="H489" s="17" t="str">
        <f aca="false">IF($D489="","",F489+G489)</f>
        <v/>
      </c>
      <c r="I489" s="17" t="str">
        <f aca="false">IF($D489="","",F489*Configuración!$B$9)</f>
        <v/>
      </c>
      <c r="J489" s="17" t="str">
        <f aca="false">IF($D489="","",F489-I489)</f>
        <v/>
      </c>
      <c r="K489" s="17" t="str">
        <f aca="false">IF($D489="","",J489*Configuración!$C$4)</f>
        <v/>
      </c>
      <c r="L489" s="17" t="str">
        <f aca="false">IF($D489="","",J489*Configuración!$C$5)</f>
        <v/>
      </c>
    </row>
    <row r="490" customFormat="false" ht="15" hidden="false" customHeight="false" outlineLevel="0" collapsed="false">
      <c r="A490" s="15"/>
      <c r="B490" s="14"/>
      <c r="C490" s="14"/>
      <c r="D490" s="16"/>
      <c r="E490" s="14"/>
      <c r="F490" s="17" t="str">
        <f aca="false">IF($D490="","",IF(Configuración!$B$10="Sí",$D490/(1+Configuración!$B$8),$D490))</f>
        <v/>
      </c>
      <c r="G490" s="17" t="str">
        <f aca="false">IF($D490="","",F490*Configuración!$B$8)</f>
        <v/>
      </c>
      <c r="H490" s="17" t="str">
        <f aca="false">IF($D490="","",F490+G490)</f>
        <v/>
      </c>
      <c r="I490" s="17" t="str">
        <f aca="false">IF($D490="","",F490*Configuración!$B$9)</f>
        <v/>
      </c>
      <c r="J490" s="17" t="str">
        <f aca="false">IF($D490="","",F490-I490)</f>
        <v/>
      </c>
      <c r="K490" s="17" t="str">
        <f aca="false">IF($D490="","",J490*Configuración!$C$4)</f>
        <v/>
      </c>
      <c r="L490" s="17" t="str">
        <f aca="false">IF($D490="","",J490*Configuración!$C$5)</f>
        <v/>
      </c>
    </row>
    <row r="491" customFormat="false" ht="15" hidden="false" customHeight="false" outlineLevel="0" collapsed="false">
      <c r="A491" s="15"/>
      <c r="B491" s="14"/>
      <c r="C491" s="14"/>
      <c r="D491" s="16"/>
      <c r="E491" s="14"/>
      <c r="F491" s="17" t="str">
        <f aca="false">IF($D491="","",IF(Configuración!$B$10="Sí",$D491/(1+Configuración!$B$8),$D491))</f>
        <v/>
      </c>
      <c r="G491" s="17" t="str">
        <f aca="false">IF($D491="","",F491*Configuración!$B$8)</f>
        <v/>
      </c>
      <c r="H491" s="17" t="str">
        <f aca="false">IF($D491="","",F491+G491)</f>
        <v/>
      </c>
      <c r="I491" s="17" t="str">
        <f aca="false">IF($D491="","",F491*Configuración!$B$9)</f>
        <v/>
      </c>
      <c r="J491" s="17" t="str">
        <f aca="false">IF($D491="","",F491-I491)</f>
        <v/>
      </c>
      <c r="K491" s="17" t="str">
        <f aca="false">IF($D491="","",J491*Configuración!$C$4)</f>
        <v/>
      </c>
      <c r="L491" s="17" t="str">
        <f aca="false">IF($D491="","",J491*Configuración!$C$5)</f>
        <v/>
      </c>
    </row>
    <row r="492" customFormat="false" ht="15" hidden="false" customHeight="false" outlineLevel="0" collapsed="false">
      <c r="A492" s="15"/>
      <c r="B492" s="14"/>
      <c r="C492" s="14"/>
      <c r="D492" s="16"/>
      <c r="E492" s="14"/>
      <c r="F492" s="17" t="str">
        <f aca="false">IF($D492="","",IF(Configuración!$B$10="Sí",$D492/(1+Configuración!$B$8),$D492))</f>
        <v/>
      </c>
      <c r="G492" s="17" t="str">
        <f aca="false">IF($D492="","",F492*Configuración!$B$8)</f>
        <v/>
      </c>
      <c r="H492" s="17" t="str">
        <f aca="false">IF($D492="","",F492+G492)</f>
        <v/>
      </c>
      <c r="I492" s="17" t="str">
        <f aca="false">IF($D492="","",F492*Configuración!$B$9)</f>
        <v/>
      </c>
      <c r="J492" s="17" t="str">
        <f aca="false">IF($D492="","",F492-I492)</f>
        <v/>
      </c>
      <c r="K492" s="17" t="str">
        <f aca="false">IF($D492="","",J492*Configuración!$C$4)</f>
        <v/>
      </c>
      <c r="L492" s="17" t="str">
        <f aca="false">IF($D492="","",J492*Configuración!$C$5)</f>
        <v/>
      </c>
    </row>
    <row r="493" customFormat="false" ht="15" hidden="false" customHeight="false" outlineLevel="0" collapsed="false">
      <c r="A493" s="15"/>
      <c r="B493" s="14"/>
      <c r="C493" s="14"/>
      <c r="D493" s="16"/>
      <c r="E493" s="14"/>
      <c r="F493" s="17" t="str">
        <f aca="false">IF($D493="","",IF(Configuración!$B$10="Sí",$D493/(1+Configuración!$B$8),$D493))</f>
        <v/>
      </c>
      <c r="G493" s="17" t="str">
        <f aca="false">IF($D493="","",F493*Configuración!$B$8)</f>
        <v/>
      </c>
      <c r="H493" s="17" t="str">
        <f aca="false">IF($D493="","",F493+G493)</f>
        <v/>
      </c>
      <c r="I493" s="17" t="str">
        <f aca="false">IF($D493="","",F493*Configuración!$B$9)</f>
        <v/>
      </c>
      <c r="J493" s="17" t="str">
        <f aca="false">IF($D493="","",F493-I493)</f>
        <v/>
      </c>
      <c r="K493" s="17" t="str">
        <f aca="false">IF($D493="","",J493*Configuración!$C$4)</f>
        <v/>
      </c>
      <c r="L493" s="17" t="str">
        <f aca="false">IF($D493="","",J493*Configuración!$C$5)</f>
        <v/>
      </c>
    </row>
    <row r="494" customFormat="false" ht="15" hidden="false" customHeight="false" outlineLevel="0" collapsed="false">
      <c r="A494" s="15"/>
      <c r="B494" s="14"/>
      <c r="C494" s="14"/>
      <c r="D494" s="16"/>
      <c r="E494" s="14"/>
      <c r="F494" s="17" t="str">
        <f aca="false">IF($D494="","",IF(Configuración!$B$10="Sí",$D494/(1+Configuración!$B$8),$D494))</f>
        <v/>
      </c>
      <c r="G494" s="17" t="str">
        <f aca="false">IF($D494="","",F494*Configuración!$B$8)</f>
        <v/>
      </c>
      <c r="H494" s="17" t="str">
        <f aca="false">IF($D494="","",F494+G494)</f>
        <v/>
      </c>
      <c r="I494" s="17" t="str">
        <f aca="false">IF($D494="","",F494*Configuración!$B$9)</f>
        <v/>
      </c>
      <c r="J494" s="17" t="str">
        <f aca="false">IF($D494="","",F494-I494)</f>
        <v/>
      </c>
      <c r="K494" s="17" t="str">
        <f aca="false">IF($D494="","",J494*Configuración!$C$4)</f>
        <v/>
      </c>
      <c r="L494" s="17" t="str">
        <f aca="false">IF($D494="","",J494*Configuración!$C$5)</f>
        <v/>
      </c>
    </row>
    <row r="495" customFormat="false" ht="15" hidden="false" customHeight="false" outlineLevel="0" collapsed="false">
      <c r="A495" s="15"/>
      <c r="B495" s="14"/>
      <c r="C495" s="14"/>
      <c r="D495" s="16"/>
      <c r="E495" s="14"/>
      <c r="F495" s="17" t="str">
        <f aca="false">IF($D495="","",IF(Configuración!$B$10="Sí",$D495/(1+Configuración!$B$8),$D495))</f>
        <v/>
      </c>
      <c r="G495" s="17" t="str">
        <f aca="false">IF($D495="","",F495*Configuración!$B$8)</f>
        <v/>
      </c>
      <c r="H495" s="17" t="str">
        <f aca="false">IF($D495="","",F495+G495)</f>
        <v/>
      </c>
      <c r="I495" s="17" t="str">
        <f aca="false">IF($D495="","",F495*Configuración!$B$9)</f>
        <v/>
      </c>
      <c r="J495" s="17" t="str">
        <f aca="false">IF($D495="","",F495-I495)</f>
        <v/>
      </c>
      <c r="K495" s="17" t="str">
        <f aca="false">IF($D495="","",J495*Configuración!$C$4)</f>
        <v/>
      </c>
      <c r="L495" s="17" t="str">
        <f aca="false">IF($D495="","",J495*Configuración!$C$5)</f>
        <v/>
      </c>
    </row>
    <row r="496" customFormat="false" ht="15" hidden="false" customHeight="false" outlineLevel="0" collapsed="false">
      <c r="A496" s="15"/>
      <c r="B496" s="14"/>
      <c r="C496" s="14"/>
      <c r="D496" s="16"/>
      <c r="E496" s="14"/>
      <c r="F496" s="17" t="str">
        <f aca="false">IF($D496="","",IF(Configuración!$B$10="Sí",$D496/(1+Configuración!$B$8),$D496))</f>
        <v/>
      </c>
      <c r="G496" s="17" t="str">
        <f aca="false">IF($D496="","",F496*Configuración!$B$8)</f>
        <v/>
      </c>
      <c r="H496" s="17" t="str">
        <f aca="false">IF($D496="","",F496+G496)</f>
        <v/>
      </c>
      <c r="I496" s="17" t="str">
        <f aca="false">IF($D496="","",F496*Configuración!$B$9)</f>
        <v/>
      </c>
      <c r="J496" s="17" t="str">
        <f aca="false">IF($D496="","",F496-I496)</f>
        <v/>
      </c>
      <c r="K496" s="17" t="str">
        <f aca="false">IF($D496="","",J496*Configuración!$C$4)</f>
        <v/>
      </c>
      <c r="L496" s="17" t="str">
        <f aca="false">IF($D496="","",J496*Configuración!$C$5)</f>
        <v/>
      </c>
    </row>
    <row r="497" customFormat="false" ht="15" hidden="false" customHeight="false" outlineLevel="0" collapsed="false">
      <c r="A497" s="15"/>
      <c r="B497" s="14"/>
      <c r="C497" s="14"/>
      <c r="D497" s="16"/>
      <c r="E497" s="14"/>
      <c r="F497" s="17" t="str">
        <f aca="false">IF($D497="","",IF(Configuración!$B$10="Sí",$D497/(1+Configuración!$B$8),$D497))</f>
        <v/>
      </c>
      <c r="G497" s="17" t="str">
        <f aca="false">IF($D497="","",F497*Configuración!$B$8)</f>
        <v/>
      </c>
      <c r="H497" s="17" t="str">
        <f aca="false">IF($D497="","",F497+G497)</f>
        <v/>
      </c>
      <c r="I497" s="17" t="str">
        <f aca="false">IF($D497="","",F497*Configuración!$B$9)</f>
        <v/>
      </c>
      <c r="J497" s="17" t="str">
        <f aca="false">IF($D497="","",F497-I497)</f>
        <v/>
      </c>
      <c r="K497" s="17" t="str">
        <f aca="false">IF($D497="","",J497*Configuración!$C$4)</f>
        <v/>
      </c>
      <c r="L497" s="17" t="str">
        <f aca="false">IF($D497="","",J497*Configuración!$C$5)</f>
        <v/>
      </c>
    </row>
    <row r="498" customFormat="false" ht="15" hidden="false" customHeight="false" outlineLevel="0" collapsed="false">
      <c r="A498" s="15"/>
      <c r="B498" s="14"/>
      <c r="C498" s="14"/>
      <c r="D498" s="16"/>
      <c r="E498" s="14"/>
      <c r="F498" s="17" t="str">
        <f aca="false">IF($D498="","",IF(Configuración!$B$10="Sí",$D498/(1+Configuración!$B$8),$D498))</f>
        <v/>
      </c>
      <c r="G498" s="17" t="str">
        <f aca="false">IF($D498="","",F498*Configuración!$B$8)</f>
        <v/>
      </c>
      <c r="H498" s="17" t="str">
        <f aca="false">IF($D498="","",F498+G498)</f>
        <v/>
      </c>
      <c r="I498" s="17" t="str">
        <f aca="false">IF($D498="","",F498*Configuración!$B$9)</f>
        <v/>
      </c>
      <c r="J498" s="17" t="str">
        <f aca="false">IF($D498="","",F498-I498)</f>
        <v/>
      </c>
      <c r="K498" s="17" t="str">
        <f aca="false">IF($D498="","",J498*Configuración!$C$4)</f>
        <v/>
      </c>
      <c r="L498" s="17" t="str">
        <f aca="false">IF($D498="","",J498*Configuración!$C$5)</f>
        <v/>
      </c>
    </row>
    <row r="499" customFormat="false" ht="15" hidden="false" customHeight="false" outlineLevel="0" collapsed="false">
      <c r="A499" s="15"/>
      <c r="B499" s="14"/>
      <c r="C499" s="14"/>
      <c r="D499" s="16"/>
      <c r="E499" s="14"/>
      <c r="F499" s="17" t="str">
        <f aca="false">IF($D499="","",IF(Configuración!$B$10="Sí",$D499/(1+Configuración!$B$8),$D499))</f>
        <v/>
      </c>
      <c r="G499" s="17" t="str">
        <f aca="false">IF($D499="","",F499*Configuración!$B$8)</f>
        <v/>
      </c>
      <c r="H499" s="17" t="str">
        <f aca="false">IF($D499="","",F499+G499)</f>
        <v/>
      </c>
      <c r="I499" s="17" t="str">
        <f aca="false">IF($D499="","",F499*Configuración!$B$9)</f>
        <v/>
      </c>
      <c r="J499" s="17" t="str">
        <f aca="false">IF($D499="","",F499-I499)</f>
        <v/>
      </c>
      <c r="K499" s="17" t="str">
        <f aca="false">IF($D499="","",J499*Configuración!$C$4)</f>
        <v/>
      </c>
      <c r="L499" s="17" t="str">
        <f aca="false">IF($D499="","",J499*Configuración!$C$5)</f>
        <v/>
      </c>
    </row>
    <row r="500" customFormat="false" ht="15" hidden="false" customHeight="false" outlineLevel="0" collapsed="false">
      <c r="A500" s="15"/>
      <c r="B500" s="14"/>
      <c r="C500" s="14"/>
      <c r="D500" s="16"/>
      <c r="E500" s="14"/>
      <c r="F500" s="17" t="str">
        <f aca="false">IF($D500="","",IF(Configuración!$B$10="Sí",$D500/(1+Configuración!$B$8),$D500))</f>
        <v/>
      </c>
      <c r="G500" s="17" t="str">
        <f aca="false">IF($D500="","",F500*Configuración!$B$8)</f>
        <v/>
      </c>
      <c r="H500" s="17" t="str">
        <f aca="false">IF($D500="","",F500+G500)</f>
        <v/>
      </c>
      <c r="I500" s="17" t="str">
        <f aca="false">IF($D500="","",F500*Configuración!$B$9)</f>
        <v/>
      </c>
      <c r="J500" s="17" t="str">
        <f aca="false">IF($D500="","",F500-I500)</f>
        <v/>
      </c>
      <c r="K500" s="17" t="str">
        <f aca="false">IF($D500="","",J500*Configuración!$C$4)</f>
        <v/>
      </c>
      <c r="L500" s="17" t="str">
        <f aca="false">IF($D500="","",J500*Configuración!$C$5)</f>
        <v/>
      </c>
    </row>
    <row r="501" customFormat="false" ht="15" hidden="false" customHeight="false" outlineLevel="0" collapsed="false">
      <c r="A501" s="15"/>
      <c r="B501" s="14"/>
      <c r="C501" s="14"/>
      <c r="D501" s="16"/>
      <c r="E501" s="14"/>
      <c r="F501" s="17" t="str">
        <f aca="false">IF($D501="","",IF(Configuración!$B$10="Sí",$D501/(1+Configuración!$B$8),$D501))</f>
        <v/>
      </c>
      <c r="G501" s="17" t="str">
        <f aca="false">IF($D501="","",F501*Configuración!$B$8)</f>
        <v/>
      </c>
      <c r="H501" s="17" t="str">
        <f aca="false">IF($D501="","",F501+G501)</f>
        <v/>
      </c>
      <c r="I501" s="17" t="str">
        <f aca="false">IF($D501="","",F501*Configuración!$B$9)</f>
        <v/>
      </c>
      <c r="J501" s="17" t="str">
        <f aca="false">IF($D501="","",F501-I501)</f>
        <v/>
      </c>
      <c r="K501" s="17" t="str">
        <f aca="false">IF($D501="","",J501*Configuración!$C$4)</f>
        <v/>
      </c>
      <c r="L501" s="17" t="str">
        <f aca="false">IF($D501="","",J501*Configuración!$C$5)</f>
        <v/>
      </c>
    </row>
  </sheetData>
  <autoFilter ref="A1:L501"/>
  <dataValidations count="4">
    <dataValidation allowBlank="true" errorStyle="stop" operator="between" showDropDown="false" showErrorMessage="false" showInputMessage="false" sqref="B2:B501" type="list">
      <formula1>Configuración!$A$16:$A$45</formula1>
      <formula2>0</formula2>
    </dataValidation>
    <dataValidation allowBlank="true" errorStyle="stop" operator="between" showDropDown="false" showErrorMessage="false" showInputMessage="false" sqref="E2:E501" type="list">
      <formula1>Configuración!$C$16:$C$19</formula1>
      <formula2>0</formula2>
    </dataValidation>
    <dataValidation allowBlank="true" error="Introduce una fecha válida (dd/mm/aaaa)" errorStyle="stop" operator="greaterThan" showDropDown="false" showErrorMessage="true" showInputMessage="false" sqref="A2:A501" type="date">
      <formula1>DATE(2000,1,1)</formula1>
      <formula2>0</formula2>
    </dataValidation>
    <dataValidation allowBlank="true" error="Escribe el importe en positivo" errorStyle="stop" operator="greaterThanOrEqual" showDropDown="false" showErrorMessage="true" showInputMessage="false" sqref="D2:D5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10" min="8" style="0" width="15"/>
    <col collapsed="false" customWidth="true" hidden="false" outlineLevel="0" max="11" min="11" style="0" width="16"/>
  </cols>
  <sheetData>
    <row r="1" customFormat="false" ht="19.7" hidden="false" customHeight="false" outlineLevel="0" collapsed="false">
      <c r="A1" s="1" t="s">
        <v>63</v>
      </c>
    </row>
    <row r="2" customFormat="false" ht="15" hidden="false" customHeight="false" outlineLevel="0" collapsed="false">
      <c r="A2" s="18" t="s">
        <v>38</v>
      </c>
      <c r="B2" s="19" t="n">
        <f aca="false">Configuración!$B$13</f>
        <v>2026</v>
      </c>
      <c r="C2" s="11" t="s">
        <v>64</v>
      </c>
    </row>
    <row r="3" customFormat="false" ht="15" hidden="false" customHeight="false" outlineLevel="0" collapsed="false">
      <c r="A3" s="18" t="s">
        <v>65</v>
      </c>
      <c r="B3" s="20" t="n">
        <f aca="false">COUNTIFS(Cobros!$D$2:$D$501,"&gt;0",Cobros!$A$2:$A$501,"")</f>
        <v>0</v>
      </c>
      <c r="C3" s="11" t="s">
        <v>66</v>
      </c>
    </row>
    <row r="5" customFormat="false" ht="42" hidden="false" customHeight="true" outlineLevel="0" collapsed="false">
      <c r="A5" s="7" t="s">
        <v>67</v>
      </c>
      <c r="B5" s="7" t="s">
        <v>68</v>
      </c>
      <c r="C5" s="7" t="s">
        <v>54</v>
      </c>
      <c r="D5" s="7" t="s">
        <v>55</v>
      </c>
      <c r="E5" s="7" t="s">
        <v>56</v>
      </c>
      <c r="F5" s="7" t="s">
        <v>57</v>
      </c>
      <c r="G5" s="7" t="s">
        <v>58</v>
      </c>
      <c r="H5" s="7" t="str">
        <f aca="false">"Neto "&amp;Configuración!$B$4&amp;" (€)"</f>
        <v>Neto Socia 1 (€)</v>
      </c>
      <c r="I5" s="7" t="str">
        <f aca="false">"Neto "&amp;Configuración!$B$5&amp;" (€)"</f>
        <v>Neto Socia 2 (€)</v>
      </c>
      <c r="J5" s="7" t="s">
        <v>69</v>
      </c>
      <c r="K5" s="7" t="s">
        <v>70</v>
      </c>
    </row>
    <row r="6" customFormat="false" ht="15" hidden="false" customHeight="false" outlineLevel="0" collapsed="false">
      <c r="A6" s="8" t="s">
        <v>71</v>
      </c>
      <c r="B6" s="21" t="n">
        <f aca="false">COUNTIFS(Cobros!$A$2:$A$501,"&gt;="&amp;DATE($B$2,1,1),Cobros!$A$2:$A$501,"&lt;"&amp;DATE($B$2,1+1,1))</f>
        <v>0</v>
      </c>
      <c r="C6" s="22" t="n">
        <f aca="false">SUMIFS(Cobros!$F$2:$F$501,Cobros!$A$2:$A$501,"&gt;="&amp;DATE($B$2,1,1),Cobros!$A$2:$A$501,"&lt;"&amp;DATE($B$2,1+1,1))</f>
        <v>0</v>
      </c>
      <c r="D6" s="22" t="n">
        <f aca="false">SUMIFS(Cobros!$G$2:$G$501,Cobros!$A$2:$A$501,"&gt;="&amp;DATE($B$2,1,1),Cobros!$A$2:$A$501,"&lt;"&amp;DATE($B$2,1+1,1))</f>
        <v>0</v>
      </c>
      <c r="E6" s="22" t="n">
        <f aca="false">SUMIFS(Cobros!$H$2:$H$501,Cobros!$A$2:$A$501,"&gt;="&amp;DATE($B$2,1,1),Cobros!$A$2:$A$501,"&lt;"&amp;DATE($B$2,1+1,1))</f>
        <v>0</v>
      </c>
      <c r="F6" s="22" t="n">
        <f aca="false">SUMIFS(Cobros!$I$2:$I$501,Cobros!$A$2:$A$501,"&gt;="&amp;DATE($B$2,1,1),Cobros!$A$2:$A$501,"&lt;"&amp;DATE($B$2,1+1,1))</f>
        <v>0</v>
      </c>
      <c r="G6" s="22" t="n">
        <f aca="false">SUMIFS(Cobros!$J$2:$J$501,Cobros!$A$2:$A$501,"&gt;="&amp;DATE($B$2,1,1),Cobros!$A$2:$A$501,"&lt;"&amp;DATE($B$2,1+1,1))</f>
        <v>0</v>
      </c>
      <c r="H6" s="22" t="n">
        <f aca="false">SUMIFS(Cobros!$K$2:$K$501,Cobros!$A$2:$A$501,"&gt;="&amp;DATE($B$2,1,1),Cobros!$A$2:$A$501,"&lt;"&amp;DATE($B$2,1+1,1))</f>
        <v>0</v>
      </c>
      <c r="I6" s="22" t="n">
        <f aca="false">SUMIFS(Cobros!$L$2:$L$501,Cobros!$A$2:$A$501,"&gt;="&amp;DATE($B$2,1,1),Cobros!$A$2:$A$501,"&lt;"&amp;DATE($B$2,1+1,1))</f>
        <v>0</v>
      </c>
      <c r="J6" s="22" t="n">
        <f aca="false">SUMIFS(Cobros!$H$2:$H$501,Cobros!$E$2:$E$501,"Efectivo",Cobros!$A$2:$A$501,"&gt;="&amp;DATE($B$2,1,1),Cobros!$A$2:$A$501,"&lt;"&amp;DATE($B$2,1+1,1))</f>
        <v>0</v>
      </c>
      <c r="K6" s="22" t="n">
        <f aca="false">SUMIFS(Cobros!$H$2:$H$501,Cobros!$E$2:$E$501,"Transferencia",Cobros!$A$2:$A$501,"&gt;="&amp;DATE($B$2,1,1),Cobros!$A$2:$A$501,"&lt;"&amp;DATE($B$2,1+1,1))</f>
        <v>0</v>
      </c>
    </row>
    <row r="7" customFormat="false" ht="15" hidden="false" customHeight="false" outlineLevel="0" collapsed="false">
      <c r="A7" s="8" t="s">
        <v>72</v>
      </c>
      <c r="B7" s="21" t="n">
        <f aca="false">COUNTIFS(Cobros!$A$2:$A$501,"&gt;="&amp;DATE($B$2,2,1),Cobros!$A$2:$A$501,"&lt;"&amp;DATE($B$2,2+1,1))</f>
        <v>0</v>
      </c>
      <c r="C7" s="22" t="n">
        <f aca="false">SUMIFS(Cobros!$F$2:$F$501,Cobros!$A$2:$A$501,"&gt;="&amp;DATE($B$2,2,1),Cobros!$A$2:$A$501,"&lt;"&amp;DATE($B$2,2+1,1))</f>
        <v>0</v>
      </c>
      <c r="D7" s="22" t="n">
        <f aca="false">SUMIFS(Cobros!$G$2:$G$501,Cobros!$A$2:$A$501,"&gt;="&amp;DATE($B$2,2,1),Cobros!$A$2:$A$501,"&lt;"&amp;DATE($B$2,2+1,1))</f>
        <v>0</v>
      </c>
      <c r="E7" s="22" t="n">
        <f aca="false">SUMIFS(Cobros!$H$2:$H$501,Cobros!$A$2:$A$501,"&gt;="&amp;DATE($B$2,2,1),Cobros!$A$2:$A$501,"&lt;"&amp;DATE($B$2,2+1,1))</f>
        <v>0</v>
      </c>
      <c r="F7" s="22" t="n">
        <f aca="false">SUMIFS(Cobros!$I$2:$I$501,Cobros!$A$2:$A$501,"&gt;="&amp;DATE($B$2,2,1),Cobros!$A$2:$A$501,"&lt;"&amp;DATE($B$2,2+1,1))</f>
        <v>0</v>
      </c>
      <c r="G7" s="22" t="n">
        <f aca="false">SUMIFS(Cobros!$J$2:$J$501,Cobros!$A$2:$A$501,"&gt;="&amp;DATE($B$2,2,1),Cobros!$A$2:$A$501,"&lt;"&amp;DATE($B$2,2+1,1))</f>
        <v>0</v>
      </c>
      <c r="H7" s="22" t="n">
        <f aca="false">SUMIFS(Cobros!$K$2:$K$501,Cobros!$A$2:$A$501,"&gt;="&amp;DATE($B$2,2,1),Cobros!$A$2:$A$501,"&lt;"&amp;DATE($B$2,2+1,1))</f>
        <v>0</v>
      </c>
      <c r="I7" s="22" t="n">
        <f aca="false">SUMIFS(Cobros!$L$2:$L$501,Cobros!$A$2:$A$501,"&gt;="&amp;DATE($B$2,2,1),Cobros!$A$2:$A$501,"&lt;"&amp;DATE($B$2,2+1,1))</f>
        <v>0</v>
      </c>
      <c r="J7" s="22" t="n">
        <f aca="false">SUMIFS(Cobros!$H$2:$H$501,Cobros!$E$2:$E$501,"Efectivo",Cobros!$A$2:$A$501,"&gt;="&amp;DATE($B$2,2,1),Cobros!$A$2:$A$501,"&lt;"&amp;DATE($B$2,2+1,1))</f>
        <v>0</v>
      </c>
      <c r="K7" s="22" t="n">
        <f aca="false">SUMIFS(Cobros!$H$2:$H$501,Cobros!$E$2:$E$501,"Transferencia",Cobros!$A$2:$A$501,"&gt;="&amp;DATE($B$2,2,1),Cobros!$A$2:$A$501,"&lt;"&amp;DATE($B$2,2+1,1))</f>
        <v>0</v>
      </c>
    </row>
    <row r="8" customFormat="false" ht="15" hidden="false" customHeight="false" outlineLevel="0" collapsed="false">
      <c r="A8" s="8" t="s">
        <v>73</v>
      </c>
      <c r="B8" s="21" t="n">
        <f aca="false">COUNTIFS(Cobros!$A$2:$A$501,"&gt;="&amp;DATE($B$2,3,1),Cobros!$A$2:$A$501,"&lt;"&amp;DATE($B$2,3+1,1))</f>
        <v>0</v>
      </c>
      <c r="C8" s="22" t="n">
        <f aca="false">SUMIFS(Cobros!$F$2:$F$501,Cobros!$A$2:$A$501,"&gt;="&amp;DATE($B$2,3,1),Cobros!$A$2:$A$501,"&lt;"&amp;DATE($B$2,3+1,1))</f>
        <v>0</v>
      </c>
      <c r="D8" s="22" t="n">
        <f aca="false">SUMIFS(Cobros!$G$2:$G$501,Cobros!$A$2:$A$501,"&gt;="&amp;DATE($B$2,3,1),Cobros!$A$2:$A$501,"&lt;"&amp;DATE($B$2,3+1,1))</f>
        <v>0</v>
      </c>
      <c r="E8" s="22" t="n">
        <f aca="false">SUMIFS(Cobros!$H$2:$H$501,Cobros!$A$2:$A$501,"&gt;="&amp;DATE($B$2,3,1),Cobros!$A$2:$A$501,"&lt;"&amp;DATE($B$2,3+1,1))</f>
        <v>0</v>
      </c>
      <c r="F8" s="22" t="n">
        <f aca="false">SUMIFS(Cobros!$I$2:$I$501,Cobros!$A$2:$A$501,"&gt;="&amp;DATE($B$2,3,1),Cobros!$A$2:$A$501,"&lt;"&amp;DATE($B$2,3+1,1))</f>
        <v>0</v>
      </c>
      <c r="G8" s="22" t="n">
        <f aca="false">SUMIFS(Cobros!$J$2:$J$501,Cobros!$A$2:$A$501,"&gt;="&amp;DATE($B$2,3,1),Cobros!$A$2:$A$501,"&lt;"&amp;DATE($B$2,3+1,1))</f>
        <v>0</v>
      </c>
      <c r="H8" s="22" t="n">
        <f aca="false">SUMIFS(Cobros!$K$2:$K$501,Cobros!$A$2:$A$501,"&gt;="&amp;DATE($B$2,3,1),Cobros!$A$2:$A$501,"&lt;"&amp;DATE($B$2,3+1,1))</f>
        <v>0</v>
      </c>
      <c r="I8" s="22" t="n">
        <f aca="false">SUMIFS(Cobros!$L$2:$L$501,Cobros!$A$2:$A$501,"&gt;="&amp;DATE($B$2,3,1),Cobros!$A$2:$A$501,"&lt;"&amp;DATE($B$2,3+1,1))</f>
        <v>0</v>
      </c>
      <c r="J8" s="22" t="n">
        <f aca="false">SUMIFS(Cobros!$H$2:$H$501,Cobros!$E$2:$E$501,"Efectivo",Cobros!$A$2:$A$501,"&gt;="&amp;DATE($B$2,3,1),Cobros!$A$2:$A$501,"&lt;"&amp;DATE($B$2,3+1,1))</f>
        <v>0</v>
      </c>
      <c r="K8" s="22" t="n">
        <f aca="false">SUMIFS(Cobros!$H$2:$H$501,Cobros!$E$2:$E$501,"Transferencia",Cobros!$A$2:$A$501,"&gt;="&amp;DATE($B$2,3,1),Cobros!$A$2:$A$501,"&lt;"&amp;DATE($B$2,3+1,1))</f>
        <v>0</v>
      </c>
    </row>
    <row r="9" customFormat="false" ht="15" hidden="false" customHeight="false" outlineLevel="0" collapsed="false">
      <c r="A9" s="8" t="s">
        <v>74</v>
      </c>
      <c r="B9" s="21" t="n">
        <f aca="false">COUNTIFS(Cobros!$A$2:$A$501,"&gt;="&amp;DATE($B$2,4,1),Cobros!$A$2:$A$501,"&lt;"&amp;DATE($B$2,4+1,1))</f>
        <v>0</v>
      </c>
      <c r="C9" s="22" t="n">
        <f aca="false">SUMIFS(Cobros!$F$2:$F$501,Cobros!$A$2:$A$501,"&gt;="&amp;DATE($B$2,4,1),Cobros!$A$2:$A$501,"&lt;"&amp;DATE($B$2,4+1,1))</f>
        <v>0</v>
      </c>
      <c r="D9" s="22" t="n">
        <f aca="false">SUMIFS(Cobros!$G$2:$G$501,Cobros!$A$2:$A$501,"&gt;="&amp;DATE($B$2,4,1),Cobros!$A$2:$A$501,"&lt;"&amp;DATE($B$2,4+1,1))</f>
        <v>0</v>
      </c>
      <c r="E9" s="22" t="n">
        <f aca="false">SUMIFS(Cobros!$H$2:$H$501,Cobros!$A$2:$A$501,"&gt;="&amp;DATE($B$2,4,1),Cobros!$A$2:$A$501,"&lt;"&amp;DATE($B$2,4+1,1))</f>
        <v>0</v>
      </c>
      <c r="F9" s="22" t="n">
        <f aca="false">SUMIFS(Cobros!$I$2:$I$501,Cobros!$A$2:$A$501,"&gt;="&amp;DATE($B$2,4,1),Cobros!$A$2:$A$501,"&lt;"&amp;DATE($B$2,4+1,1))</f>
        <v>0</v>
      </c>
      <c r="G9" s="22" t="n">
        <f aca="false">SUMIFS(Cobros!$J$2:$J$501,Cobros!$A$2:$A$501,"&gt;="&amp;DATE($B$2,4,1),Cobros!$A$2:$A$501,"&lt;"&amp;DATE($B$2,4+1,1))</f>
        <v>0</v>
      </c>
      <c r="H9" s="22" t="n">
        <f aca="false">SUMIFS(Cobros!$K$2:$K$501,Cobros!$A$2:$A$501,"&gt;="&amp;DATE($B$2,4,1),Cobros!$A$2:$A$501,"&lt;"&amp;DATE($B$2,4+1,1))</f>
        <v>0</v>
      </c>
      <c r="I9" s="22" t="n">
        <f aca="false">SUMIFS(Cobros!$L$2:$L$501,Cobros!$A$2:$A$501,"&gt;="&amp;DATE($B$2,4,1),Cobros!$A$2:$A$501,"&lt;"&amp;DATE($B$2,4+1,1))</f>
        <v>0</v>
      </c>
      <c r="J9" s="22" t="n">
        <f aca="false">SUMIFS(Cobros!$H$2:$H$501,Cobros!$E$2:$E$501,"Efectivo",Cobros!$A$2:$A$501,"&gt;="&amp;DATE($B$2,4,1),Cobros!$A$2:$A$501,"&lt;"&amp;DATE($B$2,4+1,1))</f>
        <v>0</v>
      </c>
      <c r="K9" s="22" t="n">
        <f aca="false">SUMIFS(Cobros!$H$2:$H$501,Cobros!$E$2:$E$501,"Transferencia",Cobros!$A$2:$A$501,"&gt;="&amp;DATE($B$2,4,1),Cobros!$A$2:$A$501,"&lt;"&amp;DATE($B$2,4+1,1))</f>
        <v>0</v>
      </c>
    </row>
    <row r="10" customFormat="false" ht="15" hidden="false" customHeight="false" outlineLevel="0" collapsed="false">
      <c r="A10" s="8" t="s">
        <v>75</v>
      </c>
      <c r="B10" s="21" t="n">
        <f aca="false">COUNTIFS(Cobros!$A$2:$A$501,"&gt;="&amp;DATE($B$2,5,1),Cobros!$A$2:$A$501,"&lt;"&amp;DATE($B$2,5+1,1))</f>
        <v>0</v>
      </c>
      <c r="C10" s="22" t="n">
        <f aca="false">SUMIFS(Cobros!$F$2:$F$501,Cobros!$A$2:$A$501,"&gt;="&amp;DATE($B$2,5,1),Cobros!$A$2:$A$501,"&lt;"&amp;DATE($B$2,5+1,1))</f>
        <v>0</v>
      </c>
      <c r="D10" s="22" t="n">
        <f aca="false">SUMIFS(Cobros!$G$2:$G$501,Cobros!$A$2:$A$501,"&gt;="&amp;DATE($B$2,5,1),Cobros!$A$2:$A$501,"&lt;"&amp;DATE($B$2,5+1,1))</f>
        <v>0</v>
      </c>
      <c r="E10" s="22" t="n">
        <f aca="false">SUMIFS(Cobros!$H$2:$H$501,Cobros!$A$2:$A$501,"&gt;="&amp;DATE($B$2,5,1),Cobros!$A$2:$A$501,"&lt;"&amp;DATE($B$2,5+1,1))</f>
        <v>0</v>
      </c>
      <c r="F10" s="22" t="n">
        <f aca="false">SUMIFS(Cobros!$I$2:$I$501,Cobros!$A$2:$A$501,"&gt;="&amp;DATE($B$2,5,1),Cobros!$A$2:$A$501,"&lt;"&amp;DATE($B$2,5+1,1))</f>
        <v>0</v>
      </c>
      <c r="G10" s="22" t="n">
        <f aca="false">SUMIFS(Cobros!$J$2:$J$501,Cobros!$A$2:$A$501,"&gt;="&amp;DATE($B$2,5,1),Cobros!$A$2:$A$501,"&lt;"&amp;DATE($B$2,5+1,1))</f>
        <v>0</v>
      </c>
      <c r="H10" s="22" t="n">
        <f aca="false">SUMIFS(Cobros!$K$2:$K$501,Cobros!$A$2:$A$501,"&gt;="&amp;DATE($B$2,5,1),Cobros!$A$2:$A$501,"&lt;"&amp;DATE($B$2,5+1,1))</f>
        <v>0</v>
      </c>
      <c r="I10" s="22" t="n">
        <f aca="false">SUMIFS(Cobros!$L$2:$L$501,Cobros!$A$2:$A$501,"&gt;="&amp;DATE($B$2,5,1),Cobros!$A$2:$A$501,"&lt;"&amp;DATE($B$2,5+1,1))</f>
        <v>0</v>
      </c>
      <c r="J10" s="22" t="n">
        <f aca="false">SUMIFS(Cobros!$H$2:$H$501,Cobros!$E$2:$E$501,"Efectivo",Cobros!$A$2:$A$501,"&gt;="&amp;DATE($B$2,5,1),Cobros!$A$2:$A$501,"&lt;"&amp;DATE($B$2,5+1,1))</f>
        <v>0</v>
      </c>
      <c r="K10" s="22" t="n">
        <f aca="false">SUMIFS(Cobros!$H$2:$H$501,Cobros!$E$2:$E$501,"Transferencia",Cobros!$A$2:$A$501,"&gt;="&amp;DATE($B$2,5,1),Cobros!$A$2:$A$501,"&lt;"&amp;DATE($B$2,5+1,1))</f>
        <v>0</v>
      </c>
    </row>
    <row r="11" customFormat="false" ht="15" hidden="false" customHeight="false" outlineLevel="0" collapsed="false">
      <c r="A11" s="8" t="s">
        <v>76</v>
      </c>
      <c r="B11" s="21" t="n">
        <f aca="false">COUNTIFS(Cobros!$A$2:$A$501,"&gt;="&amp;DATE($B$2,6,1),Cobros!$A$2:$A$501,"&lt;"&amp;DATE($B$2,6+1,1))</f>
        <v>0</v>
      </c>
      <c r="C11" s="22" t="n">
        <f aca="false">SUMIFS(Cobros!$F$2:$F$501,Cobros!$A$2:$A$501,"&gt;="&amp;DATE($B$2,6,1),Cobros!$A$2:$A$501,"&lt;"&amp;DATE($B$2,6+1,1))</f>
        <v>0</v>
      </c>
      <c r="D11" s="22" t="n">
        <f aca="false">SUMIFS(Cobros!$G$2:$G$501,Cobros!$A$2:$A$501,"&gt;="&amp;DATE($B$2,6,1),Cobros!$A$2:$A$501,"&lt;"&amp;DATE($B$2,6+1,1))</f>
        <v>0</v>
      </c>
      <c r="E11" s="22" t="n">
        <f aca="false">SUMIFS(Cobros!$H$2:$H$501,Cobros!$A$2:$A$501,"&gt;="&amp;DATE($B$2,6,1),Cobros!$A$2:$A$501,"&lt;"&amp;DATE($B$2,6+1,1))</f>
        <v>0</v>
      </c>
      <c r="F11" s="22" t="n">
        <f aca="false">SUMIFS(Cobros!$I$2:$I$501,Cobros!$A$2:$A$501,"&gt;="&amp;DATE($B$2,6,1),Cobros!$A$2:$A$501,"&lt;"&amp;DATE($B$2,6+1,1))</f>
        <v>0</v>
      </c>
      <c r="G11" s="22" t="n">
        <f aca="false">SUMIFS(Cobros!$J$2:$J$501,Cobros!$A$2:$A$501,"&gt;="&amp;DATE($B$2,6,1),Cobros!$A$2:$A$501,"&lt;"&amp;DATE($B$2,6+1,1))</f>
        <v>0</v>
      </c>
      <c r="H11" s="22" t="n">
        <f aca="false">SUMIFS(Cobros!$K$2:$K$501,Cobros!$A$2:$A$501,"&gt;="&amp;DATE($B$2,6,1),Cobros!$A$2:$A$501,"&lt;"&amp;DATE($B$2,6+1,1))</f>
        <v>0</v>
      </c>
      <c r="I11" s="22" t="n">
        <f aca="false">SUMIFS(Cobros!$L$2:$L$501,Cobros!$A$2:$A$501,"&gt;="&amp;DATE($B$2,6,1),Cobros!$A$2:$A$501,"&lt;"&amp;DATE($B$2,6+1,1))</f>
        <v>0</v>
      </c>
      <c r="J11" s="22" t="n">
        <f aca="false">SUMIFS(Cobros!$H$2:$H$501,Cobros!$E$2:$E$501,"Efectivo",Cobros!$A$2:$A$501,"&gt;="&amp;DATE($B$2,6,1),Cobros!$A$2:$A$501,"&lt;"&amp;DATE($B$2,6+1,1))</f>
        <v>0</v>
      </c>
      <c r="K11" s="22" t="n">
        <f aca="false">SUMIFS(Cobros!$H$2:$H$501,Cobros!$E$2:$E$501,"Transferencia",Cobros!$A$2:$A$501,"&gt;="&amp;DATE($B$2,6,1),Cobros!$A$2:$A$501,"&lt;"&amp;DATE($B$2,6+1,1))</f>
        <v>0</v>
      </c>
    </row>
    <row r="12" customFormat="false" ht="15" hidden="false" customHeight="false" outlineLevel="0" collapsed="false">
      <c r="A12" s="8" t="s">
        <v>77</v>
      </c>
      <c r="B12" s="21" t="n">
        <f aca="false">COUNTIFS(Cobros!$A$2:$A$501,"&gt;="&amp;DATE($B$2,7,1),Cobros!$A$2:$A$501,"&lt;"&amp;DATE($B$2,7+1,1))</f>
        <v>0</v>
      </c>
      <c r="C12" s="22" t="n">
        <f aca="false">SUMIFS(Cobros!$F$2:$F$501,Cobros!$A$2:$A$501,"&gt;="&amp;DATE($B$2,7,1),Cobros!$A$2:$A$501,"&lt;"&amp;DATE($B$2,7+1,1))</f>
        <v>0</v>
      </c>
      <c r="D12" s="22" t="n">
        <f aca="false">SUMIFS(Cobros!$G$2:$G$501,Cobros!$A$2:$A$501,"&gt;="&amp;DATE($B$2,7,1),Cobros!$A$2:$A$501,"&lt;"&amp;DATE($B$2,7+1,1))</f>
        <v>0</v>
      </c>
      <c r="E12" s="22" t="n">
        <f aca="false">SUMIFS(Cobros!$H$2:$H$501,Cobros!$A$2:$A$501,"&gt;="&amp;DATE($B$2,7,1),Cobros!$A$2:$A$501,"&lt;"&amp;DATE($B$2,7+1,1))</f>
        <v>0</v>
      </c>
      <c r="F12" s="22" t="n">
        <f aca="false">SUMIFS(Cobros!$I$2:$I$501,Cobros!$A$2:$A$501,"&gt;="&amp;DATE($B$2,7,1),Cobros!$A$2:$A$501,"&lt;"&amp;DATE($B$2,7+1,1))</f>
        <v>0</v>
      </c>
      <c r="G12" s="22" t="n">
        <f aca="false">SUMIFS(Cobros!$J$2:$J$501,Cobros!$A$2:$A$501,"&gt;="&amp;DATE($B$2,7,1),Cobros!$A$2:$A$501,"&lt;"&amp;DATE($B$2,7+1,1))</f>
        <v>0</v>
      </c>
      <c r="H12" s="22" t="n">
        <f aca="false">SUMIFS(Cobros!$K$2:$K$501,Cobros!$A$2:$A$501,"&gt;="&amp;DATE($B$2,7,1),Cobros!$A$2:$A$501,"&lt;"&amp;DATE($B$2,7+1,1))</f>
        <v>0</v>
      </c>
      <c r="I12" s="22" t="n">
        <f aca="false">SUMIFS(Cobros!$L$2:$L$501,Cobros!$A$2:$A$501,"&gt;="&amp;DATE($B$2,7,1),Cobros!$A$2:$A$501,"&lt;"&amp;DATE($B$2,7+1,1))</f>
        <v>0</v>
      </c>
      <c r="J12" s="22" t="n">
        <f aca="false">SUMIFS(Cobros!$H$2:$H$501,Cobros!$E$2:$E$501,"Efectivo",Cobros!$A$2:$A$501,"&gt;="&amp;DATE($B$2,7,1),Cobros!$A$2:$A$501,"&lt;"&amp;DATE($B$2,7+1,1))</f>
        <v>0</v>
      </c>
      <c r="K12" s="22" t="n">
        <f aca="false">SUMIFS(Cobros!$H$2:$H$501,Cobros!$E$2:$E$501,"Transferencia",Cobros!$A$2:$A$501,"&gt;="&amp;DATE($B$2,7,1),Cobros!$A$2:$A$501,"&lt;"&amp;DATE($B$2,7+1,1))</f>
        <v>0</v>
      </c>
    </row>
    <row r="13" customFormat="false" ht="15" hidden="false" customHeight="false" outlineLevel="0" collapsed="false">
      <c r="A13" s="8" t="s">
        <v>78</v>
      </c>
      <c r="B13" s="21" t="n">
        <f aca="false">COUNTIFS(Cobros!$A$2:$A$501,"&gt;="&amp;DATE($B$2,8,1),Cobros!$A$2:$A$501,"&lt;"&amp;DATE($B$2,8+1,1))</f>
        <v>0</v>
      </c>
      <c r="C13" s="22" t="n">
        <f aca="false">SUMIFS(Cobros!$F$2:$F$501,Cobros!$A$2:$A$501,"&gt;="&amp;DATE($B$2,8,1),Cobros!$A$2:$A$501,"&lt;"&amp;DATE($B$2,8+1,1))</f>
        <v>0</v>
      </c>
      <c r="D13" s="22" t="n">
        <f aca="false">SUMIFS(Cobros!$G$2:$G$501,Cobros!$A$2:$A$501,"&gt;="&amp;DATE($B$2,8,1),Cobros!$A$2:$A$501,"&lt;"&amp;DATE($B$2,8+1,1))</f>
        <v>0</v>
      </c>
      <c r="E13" s="22" t="n">
        <f aca="false">SUMIFS(Cobros!$H$2:$H$501,Cobros!$A$2:$A$501,"&gt;="&amp;DATE($B$2,8,1),Cobros!$A$2:$A$501,"&lt;"&amp;DATE($B$2,8+1,1))</f>
        <v>0</v>
      </c>
      <c r="F13" s="22" t="n">
        <f aca="false">SUMIFS(Cobros!$I$2:$I$501,Cobros!$A$2:$A$501,"&gt;="&amp;DATE($B$2,8,1),Cobros!$A$2:$A$501,"&lt;"&amp;DATE($B$2,8+1,1))</f>
        <v>0</v>
      </c>
      <c r="G13" s="22" t="n">
        <f aca="false">SUMIFS(Cobros!$J$2:$J$501,Cobros!$A$2:$A$501,"&gt;="&amp;DATE($B$2,8,1),Cobros!$A$2:$A$501,"&lt;"&amp;DATE($B$2,8+1,1))</f>
        <v>0</v>
      </c>
      <c r="H13" s="22" t="n">
        <f aca="false">SUMIFS(Cobros!$K$2:$K$501,Cobros!$A$2:$A$501,"&gt;="&amp;DATE($B$2,8,1),Cobros!$A$2:$A$501,"&lt;"&amp;DATE($B$2,8+1,1))</f>
        <v>0</v>
      </c>
      <c r="I13" s="22" t="n">
        <f aca="false">SUMIFS(Cobros!$L$2:$L$501,Cobros!$A$2:$A$501,"&gt;="&amp;DATE($B$2,8,1),Cobros!$A$2:$A$501,"&lt;"&amp;DATE($B$2,8+1,1))</f>
        <v>0</v>
      </c>
      <c r="J13" s="22" t="n">
        <f aca="false">SUMIFS(Cobros!$H$2:$H$501,Cobros!$E$2:$E$501,"Efectivo",Cobros!$A$2:$A$501,"&gt;="&amp;DATE($B$2,8,1),Cobros!$A$2:$A$501,"&lt;"&amp;DATE($B$2,8+1,1))</f>
        <v>0</v>
      </c>
      <c r="K13" s="22" t="n">
        <f aca="false">SUMIFS(Cobros!$H$2:$H$501,Cobros!$E$2:$E$501,"Transferencia",Cobros!$A$2:$A$501,"&gt;="&amp;DATE($B$2,8,1),Cobros!$A$2:$A$501,"&lt;"&amp;DATE($B$2,8+1,1))</f>
        <v>0</v>
      </c>
    </row>
    <row r="14" customFormat="false" ht="15" hidden="false" customHeight="false" outlineLevel="0" collapsed="false">
      <c r="A14" s="8" t="s">
        <v>79</v>
      </c>
      <c r="B14" s="21" t="n">
        <f aca="false">COUNTIFS(Cobros!$A$2:$A$501,"&gt;="&amp;DATE($B$2,9,1),Cobros!$A$2:$A$501,"&lt;"&amp;DATE($B$2,9+1,1))</f>
        <v>2</v>
      </c>
      <c r="C14" s="22" t="n">
        <f aca="false">SUMIFS(Cobros!$F$2:$F$501,Cobros!$A$2:$A$501,"&gt;="&amp;DATE($B$2,9,1),Cobros!$A$2:$A$501,"&lt;"&amp;DATE($B$2,9+1,1))</f>
        <v>2000</v>
      </c>
      <c r="D14" s="22" t="n">
        <f aca="false">SUMIFS(Cobros!$G$2:$G$501,Cobros!$A$2:$A$501,"&gt;="&amp;DATE($B$2,9,1),Cobros!$A$2:$A$501,"&lt;"&amp;DATE($B$2,9+1,1))</f>
        <v>420</v>
      </c>
      <c r="E14" s="22" t="n">
        <f aca="false">SUMIFS(Cobros!$H$2:$H$501,Cobros!$A$2:$A$501,"&gt;="&amp;DATE($B$2,9,1),Cobros!$A$2:$A$501,"&lt;"&amp;DATE($B$2,9+1,1))</f>
        <v>2420</v>
      </c>
      <c r="F14" s="22" t="n">
        <f aca="false">SUMIFS(Cobros!$I$2:$I$501,Cobros!$A$2:$A$501,"&gt;="&amp;DATE($B$2,9,1),Cobros!$A$2:$A$501,"&lt;"&amp;DATE($B$2,9+1,1))</f>
        <v>300</v>
      </c>
      <c r="G14" s="22" t="n">
        <f aca="false">SUMIFS(Cobros!$J$2:$J$501,Cobros!$A$2:$A$501,"&gt;="&amp;DATE($B$2,9,1),Cobros!$A$2:$A$501,"&lt;"&amp;DATE($B$2,9+1,1))</f>
        <v>1700</v>
      </c>
      <c r="H14" s="22" t="n">
        <f aca="false">SUMIFS(Cobros!$K$2:$K$501,Cobros!$A$2:$A$501,"&gt;="&amp;DATE($B$2,9,1),Cobros!$A$2:$A$501,"&lt;"&amp;DATE($B$2,9+1,1))</f>
        <v>850</v>
      </c>
      <c r="I14" s="22" t="n">
        <f aca="false">SUMIFS(Cobros!$L$2:$L$501,Cobros!$A$2:$A$501,"&gt;="&amp;DATE($B$2,9,1),Cobros!$A$2:$A$501,"&lt;"&amp;DATE($B$2,9+1,1))</f>
        <v>850</v>
      </c>
      <c r="J14" s="22" t="n">
        <f aca="false">SUMIFS(Cobros!$H$2:$H$501,Cobros!$E$2:$E$501,"Efectivo",Cobros!$A$2:$A$501,"&gt;="&amp;DATE($B$2,9,1),Cobros!$A$2:$A$501,"&lt;"&amp;DATE($B$2,9+1,1))</f>
        <v>968</v>
      </c>
      <c r="K14" s="22" t="n">
        <f aca="false">SUMIFS(Cobros!$H$2:$H$501,Cobros!$E$2:$E$501,"Transferencia",Cobros!$A$2:$A$501,"&gt;="&amp;DATE($B$2,9,1),Cobros!$A$2:$A$501,"&lt;"&amp;DATE($B$2,9+1,1))</f>
        <v>1452</v>
      </c>
    </row>
    <row r="15" customFormat="false" ht="15" hidden="false" customHeight="false" outlineLevel="0" collapsed="false">
      <c r="A15" s="8" t="s">
        <v>80</v>
      </c>
      <c r="B15" s="21" t="n">
        <f aca="false">COUNTIFS(Cobros!$A$2:$A$501,"&gt;="&amp;DATE($B$2,10,1),Cobros!$A$2:$A$501,"&lt;"&amp;DATE($B$2,10+1,1))</f>
        <v>3</v>
      </c>
      <c r="C15" s="22" t="n">
        <f aca="false">SUMIFS(Cobros!$F$2:$F$501,Cobros!$A$2:$A$501,"&gt;="&amp;DATE($B$2,10,1),Cobros!$A$2:$A$501,"&lt;"&amp;DATE($B$2,10+1,1))</f>
        <v>3500</v>
      </c>
      <c r="D15" s="22" t="n">
        <f aca="false">SUMIFS(Cobros!$G$2:$G$501,Cobros!$A$2:$A$501,"&gt;="&amp;DATE($B$2,10,1),Cobros!$A$2:$A$501,"&lt;"&amp;DATE($B$2,10+1,1))</f>
        <v>735</v>
      </c>
      <c r="E15" s="22" t="n">
        <f aca="false">SUMIFS(Cobros!$H$2:$H$501,Cobros!$A$2:$A$501,"&gt;="&amp;DATE($B$2,10,1),Cobros!$A$2:$A$501,"&lt;"&amp;DATE($B$2,10+1,1))</f>
        <v>4235</v>
      </c>
      <c r="F15" s="22" t="n">
        <f aca="false">SUMIFS(Cobros!$I$2:$I$501,Cobros!$A$2:$A$501,"&gt;="&amp;DATE($B$2,10,1),Cobros!$A$2:$A$501,"&lt;"&amp;DATE($B$2,10+1,1))</f>
        <v>525</v>
      </c>
      <c r="G15" s="22" t="n">
        <f aca="false">SUMIFS(Cobros!$J$2:$J$501,Cobros!$A$2:$A$501,"&gt;="&amp;DATE($B$2,10,1),Cobros!$A$2:$A$501,"&lt;"&amp;DATE($B$2,10+1,1))</f>
        <v>2975</v>
      </c>
      <c r="H15" s="22" t="n">
        <f aca="false">SUMIFS(Cobros!$K$2:$K$501,Cobros!$A$2:$A$501,"&gt;="&amp;DATE($B$2,10,1),Cobros!$A$2:$A$501,"&lt;"&amp;DATE($B$2,10+1,1))</f>
        <v>1487.5</v>
      </c>
      <c r="I15" s="22" t="n">
        <f aca="false">SUMIFS(Cobros!$L$2:$L$501,Cobros!$A$2:$A$501,"&gt;="&amp;DATE($B$2,10,1),Cobros!$A$2:$A$501,"&lt;"&amp;DATE($B$2,10+1,1))</f>
        <v>1487.5</v>
      </c>
      <c r="J15" s="22" t="n">
        <f aca="false">SUMIFS(Cobros!$H$2:$H$501,Cobros!$E$2:$E$501,"Efectivo",Cobros!$A$2:$A$501,"&gt;="&amp;DATE($B$2,10,1),Cobros!$A$2:$A$501,"&lt;"&amp;DATE($B$2,10+1,1))</f>
        <v>968</v>
      </c>
      <c r="K15" s="22" t="n">
        <f aca="false">SUMIFS(Cobros!$H$2:$H$501,Cobros!$E$2:$E$501,"Transferencia",Cobros!$A$2:$A$501,"&gt;="&amp;DATE($B$2,10,1),Cobros!$A$2:$A$501,"&lt;"&amp;DATE($B$2,10+1,1))</f>
        <v>3267</v>
      </c>
    </row>
    <row r="16" customFormat="false" ht="15" hidden="false" customHeight="false" outlineLevel="0" collapsed="false">
      <c r="A16" s="8" t="s">
        <v>81</v>
      </c>
      <c r="B16" s="21" t="n">
        <f aca="false">COUNTIFS(Cobros!$A$2:$A$501,"&gt;="&amp;DATE($B$2,11,1),Cobros!$A$2:$A$501,"&lt;"&amp;DATE($B$2,11+1,1))</f>
        <v>0</v>
      </c>
      <c r="C16" s="22" t="n">
        <f aca="false">SUMIFS(Cobros!$F$2:$F$501,Cobros!$A$2:$A$501,"&gt;="&amp;DATE($B$2,11,1),Cobros!$A$2:$A$501,"&lt;"&amp;DATE($B$2,11+1,1))</f>
        <v>0</v>
      </c>
      <c r="D16" s="22" t="n">
        <f aca="false">SUMIFS(Cobros!$G$2:$G$501,Cobros!$A$2:$A$501,"&gt;="&amp;DATE($B$2,11,1),Cobros!$A$2:$A$501,"&lt;"&amp;DATE($B$2,11+1,1))</f>
        <v>0</v>
      </c>
      <c r="E16" s="22" t="n">
        <f aca="false">SUMIFS(Cobros!$H$2:$H$501,Cobros!$A$2:$A$501,"&gt;="&amp;DATE($B$2,11,1),Cobros!$A$2:$A$501,"&lt;"&amp;DATE($B$2,11+1,1))</f>
        <v>0</v>
      </c>
      <c r="F16" s="22" t="n">
        <f aca="false">SUMIFS(Cobros!$I$2:$I$501,Cobros!$A$2:$A$501,"&gt;="&amp;DATE($B$2,11,1),Cobros!$A$2:$A$501,"&lt;"&amp;DATE($B$2,11+1,1))</f>
        <v>0</v>
      </c>
      <c r="G16" s="22" t="n">
        <f aca="false">SUMIFS(Cobros!$J$2:$J$501,Cobros!$A$2:$A$501,"&gt;="&amp;DATE($B$2,11,1),Cobros!$A$2:$A$501,"&lt;"&amp;DATE($B$2,11+1,1))</f>
        <v>0</v>
      </c>
      <c r="H16" s="22" t="n">
        <f aca="false">SUMIFS(Cobros!$K$2:$K$501,Cobros!$A$2:$A$501,"&gt;="&amp;DATE($B$2,11,1),Cobros!$A$2:$A$501,"&lt;"&amp;DATE($B$2,11+1,1))</f>
        <v>0</v>
      </c>
      <c r="I16" s="22" t="n">
        <f aca="false">SUMIFS(Cobros!$L$2:$L$501,Cobros!$A$2:$A$501,"&gt;="&amp;DATE($B$2,11,1),Cobros!$A$2:$A$501,"&lt;"&amp;DATE($B$2,11+1,1))</f>
        <v>0</v>
      </c>
      <c r="J16" s="22" t="n">
        <f aca="false">SUMIFS(Cobros!$H$2:$H$501,Cobros!$E$2:$E$501,"Efectivo",Cobros!$A$2:$A$501,"&gt;="&amp;DATE($B$2,11,1),Cobros!$A$2:$A$501,"&lt;"&amp;DATE($B$2,11+1,1))</f>
        <v>0</v>
      </c>
      <c r="K16" s="22" t="n">
        <f aca="false">SUMIFS(Cobros!$H$2:$H$501,Cobros!$E$2:$E$501,"Transferencia",Cobros!$A$2:$A$501,"&gt;="&amp;DATE($B$2,11,1),Cobros!$A$2:$A$501,"&lt;"&amp;DATE($B$2,11+1,1))</f>
        <v>0</v>
      </c>
    </row>
    <row r="17" customFormat="false" ht="15" hidden="false" customHeight="false" outlineLevel="0" collapsed="false">
      <c r="A17" s="8" t="s">
        <v>82</v>
      </c>
      <c r="B17" s="21" t="n">
        <f aca="false">COUNTIFS(Cobros!$A$2:$A$501,"&gt;="&amp;DATE($B$2,12,1),Cobros!$A$2:$A$501,"&lt;"&amp;DATE($B$2,12+1,1))</f>
        <v>0</v>
      </c>
      <c r="C17" s="22" t="n">
        <f aca="false">SUMIFS(Cobros!$F$2:$F$501,Cobros!$A$2:$A$501,"&gt;="&amp;DATE($B$2,12,1),Cobros!$A$2:$A$501,"&lt;"&amp;DATE($B$2,12+1,1))</f>
        <v>0</v>
      </c>
      <c r="D17" s="22" t="n">
        <f aca="false">SUMIFS(Cobros!$G$2:$G$501,Cobros!$A$2:$A$501,"&gt;="&amp;DATE($B$2,12,1),Cobros!$A$2:$A$501,"&lt;"&amp;DATE($B$2,12+1,1))</f>
        <v>0</v>
      </c>
      <c r="E17" s="22" t="n">
        <f aca="false">SUMIFS(Cobros!$H$2:$H$501,Cobros!$A$2:$A$501,"&gt;="&amp;DATE($B$2,12,1),Cobros!$A$2:$A$501,"&lt;"&amp;DATE($B$2,12+1,1))</f>
        <v>0</v>
      </c>
      <c r="F17" s="22" t="n">
        <f aca="false">SUMIFS(Cobros!$I$2:$I$501,Cobros!$A$2:$A$501,"&gt;="&amp;DATE($B$2,12,1),Cobros!$A$2:$A$501,"&lt;"&amp;DATE($B$2,12+1,1))</f>
        <v>0</v>
      </c>
      <c r="G17" s="22" t="n">
        <f aca="false">SUMIFS(Cobros!$J$2:$J$501,Cobros!$A$2:$A$501,"&gt;="&amp;DATE($B$2,12,1),Cobros!$A$2:$A$501,"&lt;"&amp;DATE($B$2,12+1,1))</f>
        <v>0</v>
      </c>
      <c r="H17" s="22" t="n">
        <f aca="false">SUMIFS(Cobros!$K$2:$K$501,Cobros!$A$2:$A$501,"&gt;="&amp;DATE($B$2,12,1),Cobros!$A$2:$A$501,"&lt;"&amp;DATE($B$2,12+1,1))</f>
        <v>0</v>
      </c>
      <c r="I17" s="22" t="n">
        <f aca="false">SUMIFS(Cobros!$L$2:$L$501,Cobros!$A$2:$A$501,"&gt;="&amp;DATE($B$2,12,1),Cobros!$A$2:$A$501,"&lt;"&amp;DATE($B$2,12+1,1))</f>
        <v>0</v>
      </c>
      <c r="J17" s="22" t="n">
        <f aca="false">SUMIFS(Cobros!$H$2:$H$501,Cobros!$E$2:$E$501,"Efectivo",Cobros!$A$2:$A$501,"&gt;="&amp;DATE($B$2,12,1),Cobros!$A$2:$A$501,"&lt;"&amp;DATE($B$2,12+1,1))</f>
        <v>0</v>
      </c>
      <c r="K17" s="22" t="n">
        <f aca="false">SUMIFS(Cobros!$H$2:$H$501,Cobros!$E$2:$E$501,"Transferencia",Cobros!$A$2:$A$501,"&gt;="&amp;DATE($B$2,12,1),Cobros!$A$2:$A$501,"&lt;"&amp;DATE($B$2,12+1,1))</f>
        <v>0</v>
      </c>
    </row>
    <row r="18" customFormat="false" ht="15" hidden="false" customHeight="false" outlineLevel="0" collapsed="false">
      <c r="A18" s="23" t="s">
        <v>83</v>
      </c>
      <c r="B18" s="24" t="n">
        <f aca="false">SUM(B6:B17)</f>
        <v>5</v>
      </c>
      <c r="C18" s="25" t="n">
        <f aca="false">SUM(C6:C17)</f>
        <v>5500</v>
      </c>
      <c r="D18" s="25" t="n">
        <f aca="false">SUM(D6:D17)</f>
        <v>1155</v>
      </c>
      <c r="E18" s="25" t="n">
        <f aca="false">SUM(E6:E17)</f>
        <v>6655</v>
      </c>
      <c r="F18" s="25" t="n">
        <f aca="false">SUM(F6:F17)</f>
        <v>825</v>
      </c>
      <c r="G18" s="25" t="n">
        <f aca="false">SUM(G6:G17)</f>
        <v>4675</v>
      </c>
      <c r="H18" s="25" t="n">
        <f aca="false">SUM(H6:H17)</f>
        <v>2337.5</v>
      </c>
      <c r="I18" s="25" t="n">
        <f aca="false">SUM(I6:I17)</f>
        <v>2337.5</v>
      </c>
      <c r="J18" s="25" t="n">
        <f aca="false">SUM(J6:J17)</f>
        <v>1936</v>
      </c>
      <c r="K18" s="25" t="n">
        <f aca="false">SUM(K6:K17)</f>
        <v>4719</v>
      </c>
    </row>
    <row r="19" customFormat="false" ht="15" hidden="false" customHeight="false" outlineLevel="0" collapsed="false">
      <c r="A19" s="18" t="s">
        <v>84</v>
      </c>
      <c r="C19" s="26" t="n">
        <f aca="false">IF(COUNTIF($B$6:$B$17,"&gt;0")=0,0,C18/COUNTIF($B$6:$B$17,"&gt;0"))</f>
        <v>2750</v>
      </c>
      <c r="D19" s="26" t="n">
        <f aca="false">IF(COUNTIF($B$6:$B$17,"&gt;0")=0,0,D18/COUNTIF($B$6:$B$17,"&gt;0"))</f>
        <v>577.5</v>
      </c>
      <c r="E19" s="26" t="n">
        <f aca="false">IF(COUNTIF($B$6:$B$17,"&gt;0")=0,0,E18/COUNTIF($B$6:$B$17,"&gt;0"))</f>
        <v>3327.5</v>
      </c>
      <c r="F19" s="26" t="n">
        <f aca="false">IF(COUNTIF($B$6:$B$17,"&gt;0")=0,0,F18/COUNTIF($B$6:$B$17,"&gt;0"))</f>
        <v>412.5</v>
      </c>
      <c r="G19" s="26" t="n">
        <f aca="false">IF(COUNTIF($B$6:$B$17,"&gt;0")=0,0,G18/COUNTIF($B$6:$B$17,"&gt;0"))</f>
        <v>2337.5</v>
      </c>
      <c r="H19" s="26" t="n">
        <f aca="false">IF(COUNTIF($B$6:$B$17,"&gt;0")=0,0,H18/COUNTIF($B$6:$B$17,"&gt;0"))</f>
        <v>1168.75</v>
      </c>
      <c r="I19" s="26" t="n">
        <f aca="false">IF(COUNTIF($B$6:$B$17,"&gt;0")=0,0,I18/COUNTIF($B$6:$B$17,"&gt;0"))</f>
        <v>1168.75</v>
      </c>
      <c r="J19" s="26" t="n">
        <f aca="false">IF(COUNTIF($B$6:$B$17,"&gt;0")=0,0,J18/COUNTIF($B$6:$B$17,"&gt;0"))</f>
        <v>968</v>
      </c>
      <c r="K19" s="26" t="n">
        <f aca="false">IF(COUNTIF($B$6:$B$17,"&gt;0")=0,0,K18/COUNTIF($B$6:$B$17,"&gt;0"))</f>
        <v>2359.5</v>
      </c>
    </row>
    <row r="20" customFormat="false" ht="15" hidden="false" customHeight="false" outlineLevel="0" collapsed="false">
      <c r="A20" s="11" t="s">
        <v>85</v>
      </c>
    </row>
    <row r="22" customFormat="false" ht="16.15" hidden="false" customHeight="false" outlineLevel="0" collapsed="false">
      <c r="A22" s="27" t="s">
        <v>86</v>
      </c>
    </row>
    <row r="23" customFormat="false" ht="42" hidden="false" customHeight="true" outlineLevel="0" collapsed="false">
      <c r="A23" s="7" t="s">
        <v>87</v>
      </c>
      <c r="B23" s="7" t="s">
        <v>68</v>
      </c>
      <c r="C23" s="7" t="s">
        <v>54</v>
      </c>
      <c r="D23" s="7" t="s">
        <v>88</v>
      </c>
      <c r="E23" s="7" t="s">
        <v>56</v>
      </c>
      <c r="F23" s="7" t="s">
        <v>57</v>
      </c>
      <c r="G23" s="7" t="s">
        <v>58</v>
      </c>
      <c r="H23" s="7" t="str">
        <f aca="false">"Neto "&amp;Configuración!$B$4&amp;" (€)"</f>
        <v>Neto Socia 1 (€)</v>
      </c>
      <c r="I23" s="7" t="str">
        <f aca="false">"Neto "&amp;Configuración!$B$5&amp;" (€)"</f>
        <v>Neto Socia 2 (€)</v>
      </c>
    </row>
    <row r="24" customFormat="false" ht="15" hidden="false" customHeight="false" outlineLevel="0" collapsed="false">
      <c r="A24" s="8" t="s">
        <v>89</v>
      </c>
      <c r="B24" s="28" t="n">
        <f aca="false">SUM(B6:B8)</f>
        <v>0</v>
      </c>
      <c r="C24" s="22" t="n">
        <f aca="false">SUM(C6:C8)</f>
        <v>0</v>
      </c>
      <c r="D24" s="22" t="n">
        <f aca="false">SUM(D6:D8)</f>
        <v>0</v>
      </c>
      <c r="E24" s="22" t="n">
        <f aca="false">SUM(E6:E8)</f>
        <v>0</v>
      </c>
      <c r="F24" s="22" t="n">
        <f aca="false">SUM(F6:F8)</f>
        <v>0</v>
      </c>
      <c r="G24" s="22" t="n">
        <f aca="false">SUM(G6:G8)</f>
        <v>0</v>
      </c>
      <c r="H24" s="22" t="n">
        <f aca="false">SUM(H6:H8)</f>
        <v>0</v>
      </c>
      <c r="I24" s="22" t="n">
        <f aca="false">SUM(I6:I8)</f>
        <v>0</v>
      </c>
    </row>
    <row r="25" customFormat="false" ht="15" hidden="false" customHeight="false" outlineLevel="0" collapsed="false">
      <c r="A25" s="8" t="s">
        <v>90</v>
      </c>
      <c r="B25" s="28" t="n">
        <f aca="false">SUM(B9:B11)</f>
        <v>0</v>
      </c>
      <c r="C25" s="22" t="n">
        <f aca="false">SUM(C9:C11)</f>
        <v>0</v>
      </c>
      <c r="D25" s="22" t="n">
        <f aca="false">SUM(D9:D11)</f>
        <v>0</v>
      </c>
      <c r="E25" s="22" t="n">
        <f aca="false">SUM(E9:E11)</f>
        <v>0</v>
      </c>
      <c r="F25" s="22" t="n">
        <f aca="false">SUM(F9:F11)</f>
        <v>0</v>
      </c>
      <c r="G25" s="22" t="n">
        <f aca="false">SUM(G9:G11)</f>
        <v>0</v>
      </c>
      <c r="H25" s="22" t="n">
        <f aca="false">SUM(H9:H11)</f>
        <v>0</v>
      </c>
      <c r="I25" s="22" t="n">
        <f aca="false">SUM(I9:I11)</f>
        <v>0</v>
      </c>
    </row>
    <row r="26" customFormat="false" ht="15" hidden="false" customHeight="false" outlineLevel="0" collapsed="false">
      <c r="A26" s="8" t="s">
        <v>91</v>
      </c>
      <c r="B26" s="28" t="n">
        <f aca="false">SUM(B12:B14)</f>
        <v>2</v>
      </c>
      <c r="C26" s="22" t="n">
        <f aca="false">SUM(C12:C14)</f>
        <v>2000</v>
      </c>
      <c r="D26" s="22" t="n">
        <f aca="false">SUM(D12:D14)</f>
        <v>420</v>
      </c>
      <c r="E26" s="22" t="n">
        <f aca="false">SUM(E12:E14)</f>
        <v>2420</v>
      </c>
      <c r="F26" s="22" t="n">
        <f aca="false">SUM(F12:F14)</f>
        <v>300</v>
      </c>
      <c r="G26" s="22" t="n">
        <f aca="false">SUM(G12:G14)</f>
        <v>1700</v>
      </c>
      <c r="H26" s="22" t="n">
        <f aca="false">SUM(H12:H14)</f>
        <v>850</v>
      </c>
      <c r="I26" s="22" t="n">
        <f aca="false">SUM(I12:I14)</f>
        <v>850</v>
      </c>
    </row>
    <row r="27" customFormat="false" ht="15" hidden="false" customHeight="false" outlineLevel="0" collapsed="false">
      <c r="A27" s="8" t="s">
        <v>92</v>
      </c>
      <c r="B27" s="28" t="n">
        <f aca="false">SUM(B15:B17)</f>
        <v>3</v>
      </c>
      <c r="C27" s="22" t="n">
        <f aca="false">SUM(C15:C17)</f>
        <v>3500</v>
      </c>
      <c r="D27" s="22" t="n">
        <f aca="false">SUM(D15:D17)</f>
        <v>735</v>
      </c>
      <c r="E27" s="22" t="n">
        <f aca="false">SUM(E15:E17)</f>
        <v>4235</v>
      </c>
      <c r="F27" s="22" t="n">
        <f aca="false">SUM(F15:F17)</f>
        <v>525</v>
      </c>
      <c r="G27" s="22" t="n">
        <f aca="false">SUM(G15:G17)</f>
        <v>2975</v>
      </c>
      <c r="H27" s="22" t="n">
        <f aca="false">SUM(H15:H17)</f>
        <v>1487.5</v>
      </c>
      <c r="I27" s="22" t="n">
        <f aca="false">SUM(I15:I17)</f>
        <v>1487.5</v>
      </c>
    </row>
    <row r="29" customFormat="false" ht="15" hidden="false" customHeight="false" outlineLevel="0" collapsed="false">
      <c r="A29" s="11" t="s">
        <v>93</v>
      </c>
    </row>
  </sheetData>
  <conditionalFormatting sqref="B3">
    <cfRule type="cellIs" priority="2" operator="greater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7"/>
    <col collapsed="false" customWidth="true" hidden="false" outlineLevel="0" max="8" min="8" style="0" width="19"/>
  </cols>
  <sheetData>
    <row r="1" customFormat="false" ht="19.7" hidden="false" customHeight="false" outlineLevel="0" collapsed="false">
      <c r="A1" s="1" t="s">
        <v>94</v>
      </c>
    </row>
    <row r="3" customFormat="false" ht="15" hidden="false" customHeight="false" outlineLevel="0" collapsed="false">
      <c r="A3" s="18" t="s">
        <v>38</v>
      </c>
      <c r="B3" s="29" t="n">
        <f aca="false">Configuración!$B$13</f>
        <v>2026</v>
      </c>
      <c r="C3" s="11" t="s">
        <v>95</v>
      </c>
    </row>
    <row r="4" customFormat="false" ht="16.15" hidden="false" customHeight="false" outlineLevel="0" collapsed="false">
      <c r="A4" s="18" t="s">
        <v>96</v>
      </c>
      <c r="B4" s="13" t="n">
        <v>10</v>
      </c>
      <c r="C4" s="27" t="str">
        <f aca="false">INDEX({"Enero","Febrero","Marzo","Abril","Mayo","Junio","Julio","Agosto","Septiembre","Octubre","Noviembre","Diciembre"},B4)</f>
        <v>Octubre</v>
      </c>
    </row>
    <row r="6" customFormat="false" ht="30" hidden="false" customHeight="true" outlineLevel="0" collapsed="false">
      <c r="A6" s="7" t="s">
        <v>51</v>
      </c>
      <c r="B6" s="7" t="s">
        <v>97</v>
      </c>
      <c r="C6" s="7" t="str">
        <f aca="false">Configuración!$B$4&amp;" (€)"</f>
        <v>Socia 1 (€)</v>
      </c>
      <c r="D6" s="7" t="str">
        <f aca="false">Configuración!$B$5&amp;" (€)"</f>
        <v>Socia 2 (€)</v>
      </c>
    </row>
    <row r="7" customFormat="false" ht="15" hidden="false" customHeight="false" outlineLevel="0" collapsed="false">
      <c r="A7" s="8" t="s">
        <v>98</v>
      </c>
      <c r="B7" s="22" t="n">
        <f aca="false">SUMIFS(Cobros!$F$2:$F$501,Cobros!$A$2:$A$501,"&gt;="&amp;DATE($B$3,$B$4,1),Cobros!$A$2:$A$501,"&lt;"&amp;DATE($B$3,$B$4+1,1))</f>
        <v>3500</v>
      </c>
      <c r="C7" s="22" t="n">
        <f aca="false">B7*Configuración!$C$4</f>
        <v>1750</v>
      </c>
      <c r="D7" s="22" t="n">
        <f aca="false">B7*Configuración!$C$5</f>
        <v>1750</v>
      </c>
    </row>
    <row r="8" customFormat="false" ht="15" hidden="false" customHeight="false" outlineLevel="0" collapsed="false">
      <c r="A8" s="8" t="s">
        <v>99</v>
      </c>
      <c r="B8" s="22" t="n">
        <f aca="false">SUMIFS(Cobros!$G$2:$G$501,Cobros!$A$2:$A$501,"&gt;="&amp;DATE($B$3,$B$4,1),Cobros!$A$2:$A$501,"&lt;"&amp;DATE($B$3,$B$4+1,1))</f>
        <v>735</v>
      </c>
      <c r="C8" s="22" t="n">
        <f aca="false">B8*Configuración!$C$4</f>
        <v>367.5</v>
      </c>
      <c r="D8" s="22" t="n">
        <f aca="false">B8*Configuración!$C$5</f>
        <v>367.5</v>
      </c>
    </row>
    <row r="9" customFormat="false" ht="15" hidden="false" customHeight="false" outlineLevel="0" collapsed="false">
      <c r="A9" s="8" t="s">
        <v>100</v>
      </c>
      <c r="B9" s="22" t="n">
        <f aca="false">SUMIFS(Cobros!$H$2:$H$501,Cobros!$A$2:$A$501,"&gt;="&amp;DATE($B$3,$B$4,1),Cobros!$A$2:$A$501,"&lt;"&amp;DATE($B$3,$B$4+1,1))</f>
        <v>4235</v>
      </c>
      <c r="C9" s="22" t="n">
        <f aca="false">B9*Configuración!$C$4</f>
        <v>2117.5</v>
      </c>
      <c r="D9" s="22" t="n">
        <f aca="false">B9*Configuración!$C$5</f>
        <v>2117.5</v>
      </c>
    </row>
    <row r="10" customFormat="false" ht="15" hidden="false" customHeight="false" outlineLevel="0" collapsed="false">
      <c r="A10" s="8" t="s">
        <v>101</v>
      </c>
      <c r="B10" s="22" t="n">
        <f aca="false">SUMIFS(Cobros!$I$2:$I$501,Cobros!$A$2:$A$501,"&gt;="&amp;DATE($B$3,$B$4,1),Cobros!$A$2:$A$501,"&lt;"&amp;DATE($B$3,$B$4+1,1))</f>
        <v>525</v>
      </c>
      <c r="C10" s="22" t="n">
        <f aca="false">B10*Configuración!$C$4</f>
        <v>262.5</v>
      </c>
      <c r="D10" s="22" t="n">
        <f aca="false">B10*Configuración!$C$5</f>
        <v>262.5</v>
      </c>
    </row>
    <row r="11" customFormat="false" ht="15" hidden="false" customHeight="false" outlineLevel="0" collapsed="false">
      <c r="A11" s="23" t="s">
        <v>102</v>
      </c>
      <c r="B11" s="25" t="n">
        <f aca="false">SUMIFS(Cobros!$J$2:$J$501,Cobros!$A$2:$A$501,"&gt;="&amp;DATE($B$3,$B$4,1),Cobros!$A$2:$A$501,"&lt;"&amp;DATE($B$3,$B$4+1,1))</f>
        <v>2975</v>
      </c>
      <c r="C11" s="25" t="n">
        <f aca="false">B11*Configuración!$C$4</f>
        <v>1487.5</v>
      </c>
      <c r="D11" s="25" t="n">
        <f aca="false">B11*Configuración!$C$5</f>
        <v>1487.5</v>
      </c>
    </row>
    <row r="13" customFormat="false" ht="15" hidden="false" customHeight="false" outlineLevel="0" collapsed="false">
      <c r="A13" s="8" t="s">
        <v>103</v>
      </c>
      <c r="B13" s="22" t="n">
        <f aca="false">SUMIFS(Cobros!$H$2:$H$501,Cobros!$E$2:$E$501,"Efectivo",Cobros!$A$2:$A$501,"&gt;="&amp;DATE($B$3,$B$4,1),Cobros!$A$2:$A$501,"&lt;"&amp;DATE($B$3,$B$4+1,1))</f>
        <v>968</v>
      </c>
    </row>
    <row r="14" customFormat="false" ht="15" hidden="false" customHeight="false" outlineLevel="0" collapsed="false">
      <c r="A14" s="8" t="s">
        <v>104</v>
      </c>
      <c r="B14" s="22" t="n">
        <f aca="false">SUMIFS(Cobros!$H$2:$H$501,Cobros!$E$2:$E$501,"Transferencia",Cobros!$A$2:$A$501,"&gt;="&amp;DATE($B$3,$B$4,1),Cobros!$A$2:$A$501,"&lt;"&amp;DATE($B$3,$B$4+1,1))</f>
        <v>3267</v>
      </c>
    </row>
    <row r="15" customFormat="false" ht="15" hidden="false" customHeight="false" outlineLevel="0" collapsed="false">
      <c r="A15" s="8" t="s">
        <v>105</v>
      </c>
      <c r="B15" s="28" t="n">
        <f aca="false">COUNTIFS(Cobros!$A$2:$A$501,"&gt;="&amp;DATE($B$3,$B$4,1),Cobros!$A$2:$A$501,"&lt;"&amp;DATE($B$3,$B$4+1,1))</f>
        <v>3</v>
      </c>
    </row>
    <row r="17" customFormat="false" ht="42" hidden="false" customHeight="true" outlineLevel="0" collapsed="false">
      <c r="A17" s="7" t="s">
        <v>50</v>
      </c>
      <c r="B17" s="7" t="s">
        <v>54</v>
      </c>
      <c r="C17" s="7" t="s">
        <v>55</v>
      </c>
      <c r="D17" s="7" t="s">
        <v>56</v>
      </c>
      <c r="E17" s="7" t="s">
        <v>57</v>
      </c>
      <c r="F17" s="7" t="s">
        <v>58</v>
      </c>
      <c r="G17" s="7" t="s">
        <v>106</v>
      </c>
      <c r="H17" s="7" t="s">
        <v>107</v>
      </c>
    </row>
    <row r="18" customFormat="false" ht="15" hidden="false" customHeight="false" outlineLevel="0" collapsed="false">
      <c r="A18" s="30" t="str">
        <f aca="false">IF(Configuración!A16="","",Configuración!A16)</f>
        <v>Cliente A (ejemplo)</v>
      </c>
      <c r="B18" s="22" t="n">
        <f aca="false">IF($A18="","",SUMIFS(Cobros!$F$2:$F$501,Cobros!$B$2:$B$501,$A18,Cobros!$A$2:$A$501,"&gt;="&amp;DATE($B$3,$B$4,1),Cobros!$A$2:$A$501,"&lt;"&amp;DATE($B$3,$B$4+1,1)))</f>
        <v>1200</v>
      </c>
      <c r="C18" s="22" t="n">
        <f aca="false">IF($A18="","",SUMIFS(Cobros!$G$2:$G$501,Cobros!$B$2:$B$501,$A18,Cobros!$A$2:$A$501,"&gt;="&amp;DATE($B$3,$B$4,1),Cobros!$A$2:$A$501,"&lt;"&amp;DATE($B$3,$B$4+1,1)))</f>
        <v>252</v>
      </c>
      <c r="D18" s="22" t="n">
        <f aca="false">IF($A18="","",SUMIFS(Cobros!$H$2:$H$501,Cobros!$B$2:$B$501,$A18,Cobros!$A$2:$A$501,"&gt;="&amp;DATE($B$3,$B$4,1),Cobros!$A$2:$A$501,"&lt;"&amp;DATE($B$3,$B$4+1,1)))</f>
        <v>1452</v>
      </c>
      <c r="E18" s="22" t="n">
        <f aca="false">IF($A18="","",SUMIFS(Cobros!$I$2:$I$501,Cobros!$B$2:$B$501,$A18,Cobros!$A$2:$A$501,"&gt;="&amp;DATE($B$3,$B$4,1),Cobros!$A$2:$A$501,"&lt;"&amp;DATE($B$3,$B$4+1,1)))</f>
        <v>180</v>
      </c>
      <c r="F18" s="22" t="n">
        <f aca="false">IF($A18="","",SUMIFS(Cobros!$J$2:$J$501,Cobros!$B$2:$B$501,$A18,Cobros!$A$2:$A$501,"&gt;="&amp;DATE($B$3,$B$4,1),Cobros!$A$2:$A$501,"&lt;"&amp;DATE($B$3,$B$4+1,1)))</f>
        <v>1020</v>
      </c>
      <c r="G18" s="22" t="n">
        <f aca="false">IF($A18="","",SUMIFS(Cobros!$H$2:$H$501,Cobros!$B$2:$B$501,$A18,Cobros!$E$2:$E$501,"Efectivo",Cobros!$A$2:$A$501,"&gt;="&amp;DATE($B$3,$B$4,1),Cobros!$A$2:$A$501,"&lt;"&amp;DATE($B$3,$B$4+1,1)))</f>
        <v>0</v>
      </c>
      <c r="H18" s="22" t="n">
        <f aca="false">IF($A18="","",SUMIFS(Cobros!$H$2:$H$501,Cobros!$B$2:$B$501,$A18,Cobros!$E$2:$E$501,"Transferencia",Cobros!$A$2:$A$501,"&gt;="&amp;DATE($B$3,$B$4,1),Cobros!$A$2:$A$501,"&lt;"&amp;DATE($B$3,$B$4+1,1)))</f>
        <v>1452</v>
      </c>
    </row>
    <row r="19" customFormat="false" ht="15" hidden="false" customHeight="false" outlineLevel="0" collapsed="false">
      <c r="A19" s="30" t="str">
        <f aca="false">IF(Configuración!A17="","",Configuración!A17)</f>
        <v>Cliente B (ejemplo)</v>
      </c>
      <c r="B19" s="22" t="n">
        <f aca="false">IF($A19="","",SUMIFS(Cobros!$F$2:$F$501,Cobros!$B$2:$B$501,$A19,Cobros!$A$2:$A$501,"&gt;="&amp;DATE($B$3,$B$4,1),Cobros!$A$2:$A$501,"&lt;"&amp;DATE($B$3,$B$4+1,1)))</f>
        <v>800</v>
      </c>
      <c r="C19" s="22" t="n">
        <f aca="false">IF($A19="","",SUMIFS(Cobros!$G$2:$G$501,Cobros!$B$2:$B$501,$A19,Cobros!$A$2:$A$501,"&gt;="&amp;DATE($B$3,$B$4,1),Cobros!$A$2:$A$501,"&lt;"&amp;DATE($B$3,$B$4+1,1)))</f>
        <v>168</v>
      </c>
      <c r="D19" s="22" t="n">
        <f aca="false">IF($A19="","",SUMIFS(Cobros!$H$2:$H$501,Cobros!$B$2:$B$501,$A19,Cobros!$A$2:$A$501,"&gt;="&amp;DATE($B$3,$B$4,1),Cobros!$A$2:$A$501,"&lt;"&amp;DATE($B$3,$B$4+1,1)))</f>
        <v>968</v>
      </c>
      <c r="E19" s="22" t="n">
        <f aca="false">IF($A19="","",SUMIFS(Cobros!$I$2:$I$501,Cobros!$B$2:$B$501,$A19,Cobros!$A$2:$A$501,"&gt;="&amp;DATE($B$3,$B$4,1),Cobros!$A$2:$A$501,"&lt;"&amp;DATE($B$3,$B$4+1,1)))</f>
        <v>120</v>
      </c>
      <c r="F19" s="22" t="n">
        <f aca="false">IF($A19="","",SUMIFS(Cobros!$J$2:$J$501,Cobros!$B$2:$B$501,$A19,Cobros!$A$2:$A$501,"&gt;="&amp;DATE($B$3,$B$4,1),Cobros!$A$2:$A$501,"&lt;"&amp;DATE($B$3,$B$4+1,1)))</f>
        <v>680</v>
      </c>
      <c r="G19" s="22" t="n">
        <f aca="false">IF($A19="","",SUMIFS(Cobros!$H$2:$H$501,Cobros!$B$2:$B$501,$A19,Cobros!$E$2:$E$501,"Efectivo",Cobros!$A$2:$A$501,"&gt;="&amp;DATE($B$3,$B$4,1),Cobros!$A$2:$A$501,"&lt;"&amp;DATE($B$3,$B$4+1,1)))</f>
        <v>968</v>
      </c>
      <c r="H19" s="22" t="n">
        <f aca="false">IF($A19="","",SUMIFS(Cobros!$H$2:$H$501,Cobros!$B$2:$B$501,$A19,Cobros!$E$2:$E$501,"Transferencia",Cobros!$A$2:$A$501,"&gt;="&amp;DATE($B$3,$B$4,1),Cobros!$A$2:$A$501,"&lt;"&amp;DATE($B$3,$B$4+1,1)))</f>
        <v>0</v>
      </c>
    </row>
    <row r="20" customFormat="false" ht="15" hidden="false" customHeight="false" outlineLevel="0" collapsed="false">
      <c r="A20" s="30" t="str">
        <f aca="false">IF(Configuración!A18="","",Configuración!A18)</f>
        <v>Cliente C (ejemplo)</v>
      </c>
      <c r="B20" s="22" t="n">
        <f aca="false">IF($A20="","",SUMIFS(Cobros!$F$2:$F$501,Cobros!$B$2:$B$501,$A20,Cobros!$A$2:$A$501,"&gt;="&amp;DATE($B$3,$B$4,1),Cobros!$A$2:$A$501,"&lt;"&amp;DATE($B$3,$B$4+1,1)))</f>
        <v>1500</v>
      </c>
      <c r="C20" s="22" t="n">
        <f aca="false">IF($A20="","",SUMIFS(Cobros!$G$2:$G$501,Cobros!$B$2:$B$501,$A20,Cobros!$A$2:$A$501,"&gt;="&amp;DATE($B$3,$B$4,1),Cobros!$A$2:$A$501,"&lt;"&amp;DATE($B$3,$B$4+1,1)))</f>
        <v>315</v>
      </c>
      <c r="D20" s="22" t="n">
        <f aca="false">IF($A20="","",SUMIFS(Cobros!$H$2:$H$501,Cobros!$B$2:$B$501,$A20,Cobros!$A$2:$A$501,"&gt;="&amp;DATE($B$3,$B$4,1),Cobros!$A$2:$A$501,"&lt;"&amp;DATE($B$3,$B$4+1,1)))</f>
        <v>1815</v>
      </c>
      <c r="E20" s="22" t="n">
        <f aca="false">IF($A20="","",SUMIFS(Cobros!$I$2:$I$501,Cobros!$B$2:$B$501,$A20,Cobros!$A$2:$A$501,"&gt;="&amp;DATE($B$3,$B$4,1),Cobros!$A$2:$A$501,"&lt;"&amp;DATE($B$3,$B$4+1,1)))</f>
        <v>225</v>
      </c>
      <c r="F20" s="22" t="n">
        <f aca="false">IF($A20="","",SUMIFS(Cobros!$J$2:$J$501,Cobros!$B$2:$B$501,$A20,Cobros!$A$2:$A$501,"&gt;="&amp;DATE($B$3,$B$4,1),Cobros!$A$2:$A$501,"&lt;"&amp;DATE($B$3,$B$4+1,1)))</f>
        <v>1275</v>
      </c>
      <c r="G20" s="22" t="n">
        <f aca="false">IF($A20="","",SUMIFS(Cobros!$H$2:$H$501,Cobros!$B$2:$B$501,$A20,Cobros!$E$2:$E$501,"Efectivo",Cobros!$A$2:$A$501,"&gt;="&amp;DATE($B$3,$B$4,1),Cobros!$A$2:$A$501,"&lt;"&amp;DATE($B$3,$B$4+1,1)))</f>
        <v>0</v>
      </c>
      <c r="H20" s="22" t="n">
        <f aca="false">IF($A20="","",SUMIFS(Cobros!$H$2:$H$501,Cobros!$B$2:$B$501,$A20,Cobros!$E$2:$E$501,"Transferencia",Cobros!$A$2:$A$501,"&gt;="&amp;DATE($B$3,$B$4,1),Cobros!$A$2:$A$501,"&lt;"&amp;DATE($B$3,$B$4+1,1)))</f>
        <v>1815</v>
      </c>
    </row>
    <row r="21" customFormat="false" ht="15" hidden="false" customHeight="false" outlineLevel="0" collapsed="false">
      <c r="A21" s="30" t="str">
        <f aca="false">IF(Configuración!A19="","",Configuración!A19)</f>
        <v>Cliente D (ejemplo)</v>
      </c>
      <c r="B21" s="22" t="n">
        <f aca="false">IF($A21="","",SUMIFS(Cobros!$F$2:$F$501,Cobros!$B$2:$B$501,$A21,Cobros!$A$2:$A$501,"&gt;="&amp;DATE($B$3,$B$4,1),Cobros!$A$2:$A$501,"&lt;"&amp;DATE($B$3,$B$4+1,1)))</f>
        <v>0</v>
      </c>
      <c r="C21" s="22" t="n">
        <f aca="false">IF($A21="","",SUMIFS(Cobros!$G$2:$G$501,Cobros!$B$2:$B$501,$A21,Cobros!$A$2:$A$501,"&gt;="&amp;DATE($B$3,$B$4,1),Cobros!$A$2:$A$501,"&lt;"&amp;DATE($B$3,$B$4+1,1)))</f>
        <v>0</v>
      </c>
      <c r="D21" s="22" t="n">
        <f aca="false">IF($A21="","",SUMIFS(Cobros!$H$2:$H$501,Cobros!$B$2:$B$501,$A21,Cobros!$A$2:$A$501,"&gt;="&amp;DATE($B$3,$B$4,1),Cobros!$A$2:$A$501,"&lt;"&amp;DATE($B$3,$B$4+1,1)))</f>
        <v>0</v>
      </c>
      <c r="E21" s="22" t="n">
        <f aca="false">IF($A21="","",SUMIFS(Cobros!$I$2:$I$501,Cobros!$B$2:$B$501,$A21,Cobros!$A$2:$A$501,"&gt;="&amp;DATE($B$3,$B$4,1),Cobros!$A$2:$A$501,"&lt;"&amp;DATE($B$3,$B$4+1,1)))</f>
        <v>0</v>
      </c>
      <c r="F21" s="22" t="n">
        <f aca="false">IF($A21="","",SUMIFS(Cobros!$J$2:$J$501,Cobros!$B$2:$B$501,$A21,Cobros!$A$2:$A$501,"&gt;="&amp;DATE($B$3,$B$4,1),Cobros!$A$2:$A$501,"&lt;"&amp;DATE($B$3,$B$4+1,1)))</f>
        <v>0</v>
      </c>
      <c r="G21" s="22" t="n">
        <f aca="false">IF($A21="","",SUMIFS(Cobros!$H$2:$H$501,Cobros!$B$2:$B$501,$A21,Cobros!$E$2:$E$501,"Efectivo",Cobros!$A$2:$A$501,"&gt;="&amp;DATE($B$3,$B$4,1),Cobros!$A$2:$A$501,"&lt;"&amp;DATE($B$3,$B$4+1,1)))</f>
        <v>0</v>
      </c>
      <c r="H21" s="22" t="n">
        <f aca="false">IF($A21="","",SUMIFS(Cobros!$H$2:$H$501,Cobros!$B$2:$B$501,$A21,Cobros!$E$2:$E$501,"Transferencia",Cobros!$A$2:$A$501,"&gt;="&amp;DATE($B$3,$B$4,1),Cobros!$A$2:$A$501,"&lt;"&amp;DATE($B$3,$B$4+1,1)))</f>
        <v>0</v>
      </c>
    </row>
    <row r="22" customFormat="false" ht="15" hidden="false" customHeight="false" outlineLevel="0" collapsed="false">
      <c r="A22" s="30" t="str">
        <f aca="false">IF(Configuración!A20="","",Configuración!A20)</f>
        <v/>
      </c>
      <c r="B22" s="22" t="str">
        <f aca="false">IF($A22="","",SUMIFS(Cobros!$F$2:$F$501,Cobros!$B$2:$B$501,$A22,Cobros!$A$2:$A$501,"&gt;="&amp;DATE($B$3,$B$4,1),Cobros!$A$2:$A$501,"&lt;"&amp;DATE($B$3,$B$4+1,1)))</f>
        <v/>
      </c>
      <c r="C22" s="22" t="str">
        <f aca="false">IF($A22="","",SUMIFS(Cobros!$G$2:$G$501,Cobros!$B$2:$B$501,$A22,Cobros!$A$2:$A$501,"&gt;="&amp;DATE($B$3,$B$4,1),Cobros!$A$2:$A$501,"&lt;"&amp;DATE($B$3,$B$4+1,1)))</f>
        <v/>
      </c>
      <c r="D22" s="22" t="str">
        <f aca="false">IF($A22="","",SUMIFS(Cobros!$H$2:$H$501,Cobros!$B$2:$B$501,$A22,Cobros!$A$2:$A$501,"&gt;="&amp;DATE($B$3,$B$4,1),Cobros!$A$2:$A$501,"&lt;"&amp;DATE($B$3,$B$4+1,1)))</f>
        <v/>
      </c>
      <c r="E22" s="22" t="str">
        <f aca="false">IF($A22="","",SUMIFS(Cobros!$I$2:$I$501,Cobros!$B$2:$B$501,$A22,Cobros!$A$2:$A$501,"&gt;="&amp;DATE($B$3,$B$4,1),Cobros!$A$2:$A$501,"&lt;"&amp;DATE($B$3,$B$4+1,1)))</f>
        <v/>
      </c>
      <c r="F22" s="22" t="str">
        <f aca="false">IF($A22="","",SUMIFS(Cobros!$J$2:$J$501,Cobros!$B$2:$B$501,$A22,Cobros!$A$2:$A$501,"&gt;="&amp;DATE($B$3,$B$4,1),Cobros!$A$2:$A$501,"&lt;"&amp;DATE($B$3,$B$4+1,1)))</f>
        <v/>
      </c>
      <c r="G22" s="22" t="str">
        <f aca="false">IF($A22="","",SUMIFS(Cobros!$H$2:$H$501,Cobros!$B$2:$B$501,$A22,Cobros!$E$2:$E$501,"Efectivo",Cobros!$A$2:$A$501,"&gt;="&amp;DATE($B$3,$B$4,1),Cobros!$A$2:$A$501,"&lt;"&amp;DATE($B$3,$B$4+1,1)))</f>
        <v/>
      </c>
      <c r="H22" s="22" t="str">
        <f aca="false">IF($A22="","",SUMIFS(Cobros!$H$2:$H$501,Cobros!$B$2:$B$501,$A22,Cobros!$E$2:$E$501,"Transferencia",Cobros!$A$2:$A$501,"&gt;="&amp;DATE($B$3,$B$4,1),Cobros!$A$2:$A$501,"&lt;"&amp;DATE($B$3,$B$4+1,1)))</f>
        <v/>
      </c>
    </row>
    <row r="23" customFormat="false" ht="15" hidden="false" customHeight="false" outlineLevel="0" collapsed="false">
      <c r="A23" s="30" t="str">
        <f aca="false">IF(Configuración!A21="","",Configuración!A21)</f>
        <v/>
      </c>
      <c r="B23" s="22" t="str">
        <f aca="false">IF($A23="","",SUMIFS(Cobros!$F$2:$F$501,Cobros!$B$2:$B$501,$A23,Cobros!$A$2:$A$501,"&gt;="&amp;DATE($B$3,$B$4,1),Cobros!$A$2:$A$501,"&lt;"&amp;DATE($B$3,$B$4+1,1)))</f>
        <v/>
      </c>
      <c r="C23" s="22" t="str">
        <f aca="false">IF($A23="","",SUMIFS(Cobros!$G$2:$G$501,Cobros!$B$2:$B$501,$A23,Cobros!$A$2:$A$501,"&gt;="&amp;DATE($B$3,$B$4,1),Cobros!$A$2:$A$501,"&lt;"&amp;DATE($B$3,$B$4+1,1)))</f>
        <v/>
      </c>
      <c r="D23" s="22" t="str">
        <f aca="false">IF($A23="","",SUMIFS(Cobros!$H$2:$H$501,Cobros!$B$2:$B$501,$A23,Cobros!$A$2:$A$501,"&gt;="&amp;DATE($B$3,$B$4,1),Cobros!$A$2:$A$501,"&lt;"&amp;DATE($B$3,$B$4+1,1)))</f>
        <v/>
      </c>
      <c r="E23" s="22" t="str">
        <f aca="false">IF($A23="","",SUMIFS(Cobros!$I$2:$I$501,Cobros!$B$2:$B$501,$A23,Cobros!$A$2:$A$501,"&gt;="&amp;DATE($B$3,$B$4,1),Cobros!$A$2:$A$501,"&lt;"&amp;DATE($B$3,$B$4+1,1)))</f>
        <v/>
      </c>
      <c r="F23" s="22" t="str">
        <f aca="false">IF($A23="","",SUMIFS(Cobros!$J$2:$J$501,Cobros!$B$2:$B$501,$A23,Cobros!$A$2:$A$501,"&gt;="&amp;DATE($B$3,$B$4,1),Cobros!$A$2:$A$501,"&lt;"&amp;DATE($B$3,$B$4+1,1)))</f>
        <v/>
      </c>
      <c r="G23" s="22" t="str">
        <f aca="false">IF($A23="","",SUMIFS(Cobros!$H$2:$H$501,Cobros!$B$2:$B$501,$A23,Cobros!$E$2:$E$501,"Efectivo",Cobros!$A$2:$A$501,"&gt;="&amp;DATE($B$3,$B$4,1),Cobros!$A$2:$A$501,"&lt;"&amp;DATE($B$3,$B$4+1,1)))</f>
        <v/>
      </c>
      <c r="H23" s="22" t="str">
        <f aca="false">IF($A23="","",SUMIFS(Cobros!$H$2:$H$501,Cobros!$B$2:$B$501,$A23,Cobros!$E$2:$E$501,"Transferencia",Cobros!$A$2:$A$501,"&gt;="&amp;DATE($B$3,$B$4,1),Cobros!$A$2:$A$501,"&lt;"&amp;DATE($B$3,$B$4+1,1)))</f>
        <v/>
      </c>
    </row>
    <row r="24" customFormat="false" ht="15" hidden="false" customHeight="false" outlineLevel="0" collapsed="false">
      <c r="A24" s="30" t="str">
        <f aca="false">IF(Configuración!A22="","",Configuración!A22)</f>
        <v/>
      </c>
      <c r="B24" s="22" t="str">
        <f aca="false">IF($A24="","",SUMIFS(Cobros!$F$2:$F$501,Cobros!$B$2:$B$501,$A24,Cobros!$A$2:$A$501,"&gt;="&amp;DATE($B$3,$B$4,1),Cobros!$A$2:$A$501,"&lt;"&amp;DATE($B$3,$B$4+1,1)))</f>
        <v/>
      </c>
      <c r="C24" s="22" t="str">
        <f aca="false">IF($A24="","",SUMIFS(Cobros!$G$2:$G$501,Cobros!$B$2:$B$501,$A24,Cobros!$A$2:$A$501,"&gt;="&amp;DATE($B$3,$B$4,1),Cobros!$A$2:$A$501,"&lt;"&amp;DATE($B$3,$B$4+1,1)))</f>
        <v/>
      </c>
      <c r="D24" s="22" t="str">
        <f aca="false">IF($A24="","",SUMIFS(Cobros!$H$2:$H$501,Cobros!$B$2:$B$501,$A24,Cobros!$A$2:$A$501,"&gt;="&amp;DATE($B$3,$B$4,1),Cobros!$A$2:$A$501,"&lt;"&amp;DATE($B$3,$B$4+1,1)))</f>
        <v/>
      </c>
      <c r="E24" s="22" t="str">
        <f aca="false">IF($A24="","",SUMIFS(Cobros!$I$2:$I$501,Cobros!$B$2:$B$501,$A24,Cobros!$A$2:$A$501,"&gt;="&amp;DATE($B$3,$B$4,1),Cobros!$A$2:$A$501,"&lt;"&amp;DATE($B$3,$B$4+1,1)))</f>
        <v/>
      </c>
      <c r="F24" s="22" t="str">
        <f aca="false">IF($A24="","",SUMIFS(Cobros!$J$2:$J$501,Cobros!$B$2:$B$501,$A24,Cobros!$A$2:$A$501,"&gt;="&amp;DATE($B$3,$B$4,1),Cobros!$A$2:$A$501,"&lt;"&amp;DATE($B$3,$B$4+1,1)))</f>
        <v/>
      </c>
      <c r="G24" s="22" t="str">
        <f aca="false">IF($A24="","",SUMIFS(Cobros!$H$2:$H$501,Cobros!$B$2:$B$501,$A24,Cobros!$E$2:$E$501,"Efectivo",Cobros!$A$2:$A$501,"&gt;="&amp;DATE($B$3,$B$4,1),Cobros!$A$2:$A$501,"&lt;"&amp;DATE($B$3,$B$4+1,1)))</f>
        <v/>
      </c>
      <c r="H24" s="22" t="str">
        <f aca="false">IF($A24="","",SUMIFS(Cobros!$H$2:$H$501,Cobros!$B$2:$B$501,$A24,Cobros!$E$2:$E$501,"Transferencia",Cobros!$A$2:$A$501,"&gt;="&amp;DATE($B$3,$B$4,1),Cobros!$A$2:$A$501,"&lt;"&amp;DATE($B$3,$B$4+1,1)))</f>
        <v/>
      </c>
    </row>
    <row r="25" customFormat="false" ht="15" hidden="false" customHeight="false" outlineLevel="0" collapsed="false">
      <c r="A25" s="30" t="str">
        <f aca="false">IF(Configuración!A23="","",Configuración!A23)</f>
        <v/>
      </c>
      <c r="B25" s="22" t="str">
        <f aca="false">IF($A25="","",SUMIFS(Cobros!$F$2:$F$501,Cobros!$B$2:$B$501,$A25,Cobros!$A$2:$A$501,"&gt;="&amp;DATE($B$3,$B$4,1),Cobros!$A$2:$A$501,"&lt;"&amp;DATE($B$3,$B$4+1,1)))</f>
        <v/>
      </c>
      <c r="C25" s="22" t="str">
        <f aca="false">IF($A25="","",SUMIFS(Cobros!$G$2:$G$501,Cobros!$B$2:$B$501,$A25,Cobros!$A$2:$A$501,"&gt;="&amp;DATE($B$3,$B$4,1),Cobros!$A$2:$A$501,"&lt;"&amp;DATE($B$3,$B$4+1,1)))</f>
        <v/>
      </c>
      <c r="D25" s="22" t="str">
        <f aca="false">IF($A25="","",SUMIFS(Cobros!$H$2:$H$501,Cobros!$B$2:$B$501,$A25,Cobros!$A$2:$A$501,"&gt;="&amp;DATE($B$3,$B$4,1),Cobros!$A$2:$A$501,"&lt;"&amp;DATE($B$3,$B$4+1,1)))</f>
        <v/>
      </c>
      <c r="E25" s="22" t="str">
        <f aca="false">IF($A25="","",SUMIFS(Cobros!$I$2:$I$501,Cobros!$B$2:$B$501,$A25,Cobros!$A$2:$A$501,"&gt;="&amp;DATE($B$3,$B$4,1),Cobros!$A$2:$A$501,"&lt;"&amp;DATE($B$3,$B$4+1,1)))</f>
        <v/>
      </c>
      <c r="F25" s="22" t="str">
        <f aca="false">IF($A25="","",SUMIFS(Cobros!$J$2:$J$501,Cobros!$B$2:$B$501,$A25,Cobros!$A$2:$A$501,"&gt;="&amp;DATE($B$3,$B$4,1),Cobros!$A$2:$A$501,"&lt;"&amp;DATE($B$3,$B$4+1,1)))</f>
        <v/>
      </c>
      <c r="G25" s="22" t="str">
        <f aca="false">IF($A25="","",SUMIFS(Cobros!$H$2:$H$501,Cobros!$B$2:$B$501,$A25,Cobros!$E$2:$E$501,"Efectivo",Cobros!$A$2:$A$501,"&gt;="&amp;DATE($B$3,$B$4,1),Cobros!$A$2:$A$501,"&lt;"&amp;DATE($B$3,$B$4+1,1)))</f>
        <v/>
      </c>
      <c r="H25" s="22" t="str">
        <f aca="false">IF($A25="","",SUMIFS(Cobros!$H$2:$H$501,Cobros!$B$2:$B$501,$A25,Cobros!$E$2:$E$501,"Transferencia",Cobros!$A$2:$A$501,"&gt;="&amp;DATE($B$3,$B$4,1),Cobros!$A$2:$A$501,"&lt;"&amp;DATE($B$3,$B$4+1,1)))</f>
        <v/>
      </c>
    </row>
    <row r="26" customFormat="false" ht="15" hidden="false" customHeight="false" outlineLevel="0" collapsed="false">
      <c r="A26" s="30" t="str">
        <f aca="false">IF(Configuración!A24="","",Configuración!A24)</f>
        <v/>
      </c>
      <c r="B26" s="22" t="str">
        <f aca="false">IF($A26="","",SUMIFS(Cobros!$F$2:$F$501,Cobros!$B$2:$B$501,$A26,Cobros!$A$2:$A$501,"&gt;="&amp;DATE($B$3,$B$4,1),Cobros!$A$2:$A$501,"&lt;"&amp;DATE($B$3,$B$4+1,1)))</f>
        <v/>
      </c>
      <c r="C26" s="22" t="str">
        <f aca="false">IF($A26="","",SUMIFS(Cobros!$G$2:$G$501,Cobros!$B$2:$B$501,$A26,Cobros!$A$2:$A$501,"&gt;="&amp;DATE($B$3,$B$4,1),Cobros!$A$2:$A$501,"&lt;"&amp;DATE($B$3,$B$4+1,1)))</f>
        <v/>
      </c>
      <c r="D26" s="22" t="str">
        <f aca="false">IF($A26="","",SUMIFS(Cobros!$H$2:$H$501,Cobros!$B$2:$B$501,$A26,Cobros!$A$2:$A$501,"&gt;="&amp;DATE($B$3,$B$4,1),Cobros!$A$2:$A$501,"&lt;"&amp;DATE($B$3,$B$4+1,1)))</f>
        <v/>
      </c>
      <c r="E26" s="22" t="str">
        <f aca="false">IF($A26="","",SUMIFS(Cobros!$I$2:$I$501,Cobros!$B$2:$B$501,$A26,Cobros!$A$2:$A$501,"&gt;="&amp;DATE($B$3,$B$4,1),Cobros!$A$2:$A$501,"&lt;"&amp;DATE($B$3,$B$4+1,1)))</f>
        <v/>
      </c>
      <c r="F26" s="22" t="str">
        <f aca="false">IF($A26="","",SUMIFS(Cobros!$J$2:$J$501,Cobros!$B$2:$B$501,$A26,Cobros!$A$2:$A$501,"&gt;="&amp;DATE($B$3,$B$4,1),Cobros!$A$2:$A$501,"&lt;"&amp;DATE($B$3,$B$4+1,1)))</f>
        <v/>
      </c>
      <c r="G26" s="22" t="str">
        <f aca="false">IF($A26="","",SUMIFS(Cobros!$H$2:$H$501,Cobros!$B$2:$B$501,$A26,Cobros!$E$2:$E$501,"Efectivo",Cobros!$A$2:$A$501,"&gt;="&amp;DATE($B$3,$B$4,1),Cobros!$A$2:$A$501,"&lt;"&amp;DATE($B$3,$B$4+1,1)))</f>
        <v/>
      </c>
      <c r="H26" s="22" t="str">
        <f aca="false">IF($A26="","",SUMIFS(Cobros!$H$2:$H$501,Cobros!$B$2:$B$501,$A26,Cobros!$E$2:$E$501,"Transferencia",Cobros!$A$2:$A$501,"&gt;="&amp;DATE($B$3,$B$4,1),Cobros!$A$2:$A$501,"&lt;"&amp;DATE($B$3,$B$4+1,1)))</f>
        <v/>
      </c>
    </row>
    <row r="27" customFormat="false" ht="15" hidden="false" customHeight="false" outlineLevel="0" collapsed="false">
      <c r="A27" s="30" t="str">
        <f aca="false">IF(Configuración!A25="","",Configuración!A25)</f>
        <v/>
      </c>
      <c r="B27" s="22" t="str">
        <f aca="false">IF($A27="","",SUMIFS(Cobros!$F$2:$F$501,Cobros!$B$2:$B$501,$A27,Cobros!$A$2:$A$501,"&gt;="&amp;DATE($B$3,$B$4,1),Cobros!$A$2:$A$501,"&lt;"&amp;DATE($B$3,$B$4+1,1)))</f>
        <v/>
      </c>
      <c r="C27" s="22" t="str">
        <f aca="false">IF($A27="","",SUMIFS(Cobros!$G$2:$G$501,Cobros!$B$2:$B$501,$A27,Cobros!$A$2:$A$501,"&gt;="&amp;DATE($B$3,$B$4,1),Cobros!$A$2:$A$501,"&lt;"&amp;DATE($B$3,$B$4+1,1)))</f>
        <v/>
      </c>
      <c r="D27" s="22" t="str">
        <f aca="false">IF($A27="","",SUMIFS(Cobros!$H$2:$H$501,Cobros!$B$2:$B$501,$A27,Cobros!$A$2:$A$501,"&gt;="&amp;DATE($B$3,$B$4,1),Cobros!$A$2:$A$501,"&lt;"&amp;DATE($B$3,$B$4+1,1)))</f>
        <v/>
      </c>
      <c r="E27" s="22" t="str">
        <f aca="false">IF($A27="","",SUMIFS(Cobros!$I$2:$I$501,Cobros!$B$2:$B$501,$A27,Cobros!$A$2:$A$501,"&gt;="&amp;DATE($B$3,$B$4,1),Cobros!$A$2:$A$501,"&lt;"&amp;DATE($B$3,$B$4+1,1)))</f>
        <v/>
      </c>
      <c r="F27" s="22" t="str">
        <f aca="false">IF($A27="","",SUMIFS(Cobros!$J$2:$J$501,Cobros!$B$2:$B$501,$A27,Cobros!$A$2:$A$501,"&gt;="&amp;DATE($B$3,$B$4,1),Cobros!$A$2:$A$501,"&lt;"&amp;DATE($B$3,$B$4+1,1)))</f>
        <v/>
      </c>
      <c r="G27" s="22" t="str">
        <f aca="false">IF($A27="","",SUMIFS(Cobros!$H$2:$H$501,Cobros!$B$2:$B$501,$A27,Cobros!$E$2:$E$501,"Efectivo",Cobros!$A$2:$A$501,"&gt;="&amp;DATE($B$3,$B$4,1),Cobros!$A$2:$A$501,"&lt;"&amp;DATE($B$3,$B$4+1,1)))</f>
        <v/>
      </c>
      <c r="H27" s="22" t="str">
        <f aca="false">IF($A27="","",SUMIFS(Cobros!$H$2:$H$501,Cobros!$B$2:$B$501,$A27,Cobros!$E$2:$E$501,"Transferencia",Cobros!$A$2:$A$501,"&gt;="&amp;DATE($B$3,$B$4,1),Cobros!$A$2:$A$501,"&lt;"&amp;DATE($B$3,$B$4+1,1)))</f>
        <v/>
      </c>
    </row>
    <row r="28" customFormat="false" ht="15" hidden="false" customHeight="false" outlineLevel="0" collapsed="false">
      <c r="A28" s="30" t="str">
        <f aca="false">IF(Configuración!A26="","",Configuración!A26)</f>
        <v/>
      </c>
      <c r="B28" s="22" t="str">
        <f aca="false">IF($A28="","",SUMIFS(Cobros!$F$2:$F$501,Cobros!$B$2:$B$501,$A28,Cobros!$A$2:$A$501,"&gt;="&amp;DATE($B$3,$B$4,1),Cobros!$A$2:$A$501,"&lt;"&amp;DATE($B$3,$B$4+1,1)))</f>
        <v/>
      </c>
      <c r="C28" s="22" t="str">
        <f aca="false">IF($A28="","",SUMIFS(Cobros!$G$2:$G$501,Cobros!$B$2:$B$501,$A28,Cobros!$A$2:$A$501,"&gt;="&amp;DATE($B$3,$B$4,1),Cobros!$A$2:$A$501,"&lt;"&amp;DATE($B$3,$B$4+1,1)))</f>
        <v/>
      </c>
      <c r="D28" s="22" t="str">
        <f aca="false">IF($A28="","",SUMIFS(Cobros!$H$2:$H$501,Cobros!$B$2:$B$501,$A28,Cobros!$A$2:$A$501,"&gt;="&amp;DATE($B$3,$B$4,1),Cobros!$A$2:$A$501,"&lt;"&amp;DATE($B$3,$B$4+1,1)))</f>
        <v/>
      </c>
      <c r="E28" s="22" t="str">
        <f aca="false">IF($A28="","",SUMIFS(Cobros!$I$2:$I$501,Cobros!$B$2:$B$501,$A28,Cobros!$A$2:$A$501,"&gt;="&amp;DATE($B$3,$B$4,1),Cobros!$A$2:$A$501,"&lt;"&amp;DATE($B$3,$B$4+1,1)))</f>
        <v/>
      </c>
      <c r="F28" s="22" t="str">
        <f aca="false">IF($A28="","",SUMIFS(Cobros!$J$2:$J$501,Cobros!$B$2:$B$501,$A28,Cobros!$A$2:$A$501,"&gt;="&amp;DATE($B$3,$B$4,1),Cobros!$A$2:$A$501,"&lt;"&amp;DATE($B$3,$B$4+1,1)))</f>
        <v/>
      </c>
      <c r="G28" s="22" t="str">
        <f aca="false">IF($A28="","",SUMIFS(Cobros!$H$2:$H$501,Cobros!$B$2:$B$501,$A28,Cobros!$E$2:$E$501,"Efectivo",Cobros!$A$2:$A$501,"&gt;="&amp;DATE($B$3,$B$4,1),Cobros!$A$2:$A$501,"&lt;"&amp;DATE($B$3,$B$4+1,1)))</f>
        <v/>
      </c>
      <c r="H28" s="22" t="str">
        <f aca="false">IF($A28="","",SUMIFS(Cobros!$H$2:$H$501,Cobros!$B$2:$B$501,$A28,Cobros!$E$2:$E$501,"Transferencia",Cobros!$A$2:$A$501,"&gt;="&amp;DATE($B$3,$B$4,1),Cobros!$A$2:$A$501,"&lt;"&amp;DATE($B$3,$B$4+1,1)))</f>
        <v/>
      </c>
    </row>
    <row r="29" customFormat="false" ht="15" hidden="false" customHeight="false" outlineLevel="0" collapsed="false">
      <c r="A29" s="30" t="str">
        <f aca="false">IF(Configuración!A27="","",Configuración!A27)</f>
        <v/>
      </c>
      <c r="B29" s="22" t="str">
        <f aca="false">IF($A29="","",SUMIFS(Cobros!$F$2:$F$501,Cobros!$B$2:$B$501,$A29,Cobros!$A$2:$A$501,"&gt;="&amp;DATE($B$3,$B$4,1),Cobros!$A$2:$A$501,"&lt;"&amp;DATE($B$3,$B$4+1,1)))</f>
        <v/>
      </c>
      <c r="C29" s="22" t="str">
        <f aca="false">IF($A29="","",SUMIFS(Cobros!$G$2:$G$501,Cobros!$B$2:$B$501,$A29,Cobros!$A$2:$A$501,"&gt;="&amp;DATE($B$3,$B$4,1),Cobros!$A$2:$A$501,"&lt;"&amp;DATE($B$3,$B$4+1,1)))</f>
        <v/>
      </c>
      <c r="D29" s="22" t="str">
        <f aca="false">IF($A29="","",SUMIFS(Cobros!$H$2:$H$501,Cobros!$B$2:$B$501,$A29,Cobros!$A$2:$A$501,"&gt;="&amp;DATE($B$3,$B$4,1),Cobros!$A$2:$A$501,"&lt;"&amp;DATE($B$3,$B$4+1,1)))</f>
        <v/>
      </c>
      <c r="E29" s="22" t="str">
        <f aca="false">IF($A29="","",SUMIFS(Cobros!$I$2:$I$501,Cobros!$B$2:$B$501,$A29,Cobros!$A$2:$A$501,"&gt;="&amp;DATE($B$3,$B$4,1),Cobros!$A$2:$A$501,"&lt;"&amp;DATE($B$3,$B$4+1,1)))</f>
        <v/>
      </c>
      <c r="F29" s="22" t="str">
        <f aca="false">IF($A29="","",SUMIFS(Cobros!$J$2:$J$501,Cobros!$B$2:$B$501,$A29,Cobros!$A$2:$A$501,"&gt;="&amp;DATE($B$3,$B$4,1),Cobros!$A$2:$A$501,"&lt;"&amp;DATE($B$3,$B$4+1,1)))</f>
        <v/>
      </c>
      <c r="G29" s="22" t="str">
        <f aca="false">IF($A29="","",SUMIFS(Cobros!$H$2:$H$501,Cobros!$B$2:$B$501,$A29,Cobros!$E$2:$E$501,"Efectivo",Cobros!$A$2:$A$501,"&gt;="&amp;DATE($B$3,$B$4,1),Cobros!$A$2:$A$501,"&lt;"&amp;DATE($B$3,$B$4+1,1)))</f>
        <v/>
      </c>
      <c r="H29" s="22" t="str">
        <f aca="false">IF($A29="","",SUMIFS(Cobros!$H$2:$H$501,Cobros!$B$2:$B$501,$A29,Cobros!$E$2:$E$501,"Transferencia",Cobros!$A$2:$A$501,"&gt;="&amp;DATE($B$3,$B$4,1),Cobros!$A$2:$A$501,"&lt;"&amp;DATE($B$3,$B$4+1,1)))</f>
        <v/>
      </c>
    </row>
    <row r="30" customFormat="false" ht="15" hidden="false" customHeight="false" outlineLevel="0" collapsed="false">
      <c r="A30" s="30" t="str">
        <f aca="false">IF(Configuración!A28="","",Configuración!A28)</f>
        <v/>
      </c>
      <c r="B30" s="22" t="str">
        <f aca="false">IF($A30="","",SUMIFS(Cobros!$F$2:$F$501,Cobros!$B$2:$B$501,$A30,Cobros!$A$2:$A$501,"&gt;="&amp;DATE($B$3,$B$4,1),Cobros!$A$2:$A$501,"&lt;"&amp;DATE($B$3,$B$4+1,1)))</f>
        <v/>
      </c>
      <c r="C30" s="22" t="str">
        <f aca="false">IF($A30="","",SUMIFS(Cobros!$G$2:$G$501,Cobros!$B$2:$B$501,$A30,Cobros!$A$2:$A$501,"&gt;="&amp;DATE($B$3,$B$4,1),Cobros!$A$2:$A$501,"&lt;"&amp;DATE($B$3,$B$4+1,1)))</f>
        <v/>
      </c>
      <c r="D30" s="22" t="str">
        <f aca="false">IF($A30="","",SUMIFS(Cobros!$H$2:$H$501,Cobros!$B$2:$B$501,$A30,Cobros!$A$2:$A$501,"&gt;="&amp;DATE($B$3,$B$4,1),Cobros!$A$2:$A$501,"&lt;"&amp;DATE($B$3,$B$4+1,1)))</f>
        <v/>
      </c>
      <c r="E30" s="22" t="str">
        <f aca="false">IF($A30="","",SUMIFS(Cobros!$I$2:$I$501,Cobros!$B$2:$B$501,$A30,Cobros!$A$2:$A$501,"&gt;="&amp;DATE($B$3,$B$4,1),Cobros!$A$2:$A$501,"&lt;"&amp;DATE($B$3,$B$4+1,1)))</f>
        <v/>
      </c>
      <c r="F30" s="22" t="str">
        <f aca="false">IF($A30="","",SUMIFS(Cobros!$J$2:$J$501,Cobros!$B$2:$B$501,$A30,Cobros!$A$2:$A$501,"&gt;="&amp;DATE($B$3,$B$4,1),Cobros!$A$2:$A$501,"&lt;"&amp;DATE($B$3,$B$4+1,1)))</f>
        <v/>
      </c>
      <c r="G30" s="22" t="str">
        <f aca="false">IF($A30="","",SUMIFS(Cobros!$H$2:$H$501,Cobros!$B$2:$B$501,$A30,Cobros!$E$2:$E$501,"Efectivo",Cobros!$A$2:$A$501,"&gt;="&amp;DATE($B$3,$B$4,1),Cobros!$A$2:$A$501,"&lt;"&amp;DATE($B$3,$B$4+1,1)))</f>
        <v/>
      </c>
      <c r="H30" s="22" t="str">
        <f aca="false">IF($A30="","",SUMIFS(Cobros!$H$2:$H$501,Cobros!$B$2:$B$501,$A30,Cobros!$E$2:$E$501,"Transferencia",Cobros!$A$2:$A$501,"&gt;="&amp;DATE($B$3,$B$4,1),Cobros!$A$2:$A$501,"&lt;"&amp;DATE($B$3,$B$4+1,1)))</f>
        <v/>
      </c>
    </row>
    <row r="31" customFormat="false" ht="15" hidden="false" customHeight="false" outlineLevel="0" collapsed="false">
      <c r="A31" s="30" t="str">
        <f aca="false">IF(Configuración!A29="","",Configuración!A29)</f>
        <v/>
      </c>
      <c r="B31" s="22" t="str">
        <f aca="false">IF($A31="","",SUMIFS(Cobros!$F$2:$F$501,Cobros!$B$2:$B$501,$A31,Cobros!$A$2:$A$501,"&gt;="&amp;DATE($B$3,$B$4,1),Cobros!$A$2:$A$501,"&lt;"&amp;DATE($B$3,$B$4+1,1)))</f>
        <v/>
      </c>
      <c r="C31" s="22" t="str">
        <f aca="false">IF($A31="","",SUMIFS(Cobros!$G$2:$G$501,Cobros!$B$2:$B$501,$A31,Cobros!$A$2:$A$501,"&gt;="&amp;DATE($B$3,$B$4,1),Cobros!$A$2:$A$501,"&lt;"&amp;DATE($B$3,$B$4+1,1)))</f>
        <v/>
      </c>
      <c r="D31" s="22" t="str">
        <f aca="false">IF($A31="","",SUMIFS(Cobros!$H$2:$H$501,Cobros!$B$2:$B$501,$A31,Cobros!$A$2:$A$501,"&gt;="&amp;DATE($B$3,$B$4,1),Cobros!$A$2:$A$501,"&lt;"&amp;DATE($B$3,$B$4+1,1)))</f>
        <v/>
      </c>
      <c r="E31" s="22" t="str">
        <f aca="false">IF($A31="","",SUMIFS(Cobros!$I$2:$I$501,Cobros!$B$2:$B$501,$A31,Cobros!$A$2:$A$501,"&gt;="&amp;DATE($B$3,$B$4,1),Cobros!$A$2:$A$501,"&lt;"&amp;DATE($B$3,$B$4+1,1)))</f>
        <v/>
      </c>
      <c r="F31" s="22" t="str">
        <f aca="false">IF($A31="","",SUMIFS(Cobros!$J$2:$J$501,Cobros!$B$2:$B$501,$A31,Cobros!$A$2:$A$501,"&gt;="&amp;DATE($B$3,$B$4,1),Cobros!$A$2:$A$501,"&lt;"&amp;DATE($B$3,$B$4+1,1)))</f>
        <v/>
      </c>
      <c r="G31" s="22" t="str">
        <f aca="false">IF($A31="","",SUMIFS(Cobros!$H$2:$H$501,Cobros!$B$2:$B$501,$A31,Cobros!$E$2:$E$501,"Efectivo",Cobros!$A$2:$A$501,"&gt;="&amp;DATE($B$3,$B$4,1),Cobros!$A$2:$A$501,"&lt;"&amp;DATE($B$3,$B$4+1,1)))</f>
        <v/>
      </c>
      <c r="H31" s="22" t="str">
        <f aca="false">IF($A31="","",SUMIFS(Cobros!$H$2:$H$501,Cobros!$B$2:$B$501,$A31,Cobros!$E$2:$E$501,"Transferencia",Cobros!$A$2:$A$501,"&gt;="&amp;DATE($B$3,$B$4,1),Cobros!$A$2:$A$501,"&lt;"&amp;DATE($B$3,$B$4+1,1)))</f>
        <v/>
      </c>
    </row>
    <row r="32" customFormat="false" ht="15" hidden="false" customHeight="false" outlineLevel="0" collapsed="false">
      <c r="A32" s="30" t="str">
        <f aca="false">IF(Configuración!A30="","",Configuración!A30)</f>
        <v/>
      </c>
      <c r="B32" s="22" t="str">
        <f aca="false">IF($A32="","",SUMIFS(Cobros!$F$2:$F$501,Cobros!$B$2:$B$501,$A32,Cobros!$A$2:$A$501,"&gt;="&amp;DATE($B$3,$B$4,1),Cobros!$A$2:$A$501,"&lt;"&amp;DATE($B$3,$B$4+1,1)))</f>
        <v/>
      </c>
      <c r="C32" s="22" t="str">
        <f aca="false">IF($A32="","",SUMIFS(Cobros!$G$2:$G$501,Cobros!$B$2:$B$501,$A32,Cobros!$A$2:$A$501,"&gt;="&amp;DATE($B$3,$B$4,1),Cobros!$A$2:$A$501,"&lt;"&amp;DATE($B$3,$B$4+1,1)))</f>
        <v/>
      </c>
      <c r="D32" s="22" t="str">
        <f aca="false">IF($A32="","",SUMIFS(Cobros!$H$2:$H$501,Cobros!$B$2:$B$501,$A32,Cobros!$A$2:$A$501,"&gt;="&amp;DATE($B$3,$B$4,1),Cobros!$A$2:$A$501,"&lt;"&amp;DATE($B$3,$B$4+1,1)))</f>
        <v/>
      </c>
      <c r="E32" s="22" t="str">
        <f aca="false">IF($A32="","",SUMIFS(Cobros!$I$2:$I$501,Cobros!$B$2:$B$501,$A32,Cobros!$A$2:$A$501,"&gt;="&amp;DATE($B$3,$B$4,1),Cobros!$A$2:$A$501,"&lt;"&amp;DATE($B$3,$B$4+1,1)))</f>
        <v/>
      </c>
      <c r="F32" s="22" t="str">
        <f aca="false">IF($A32="","",SUMIFS(Cobros!$J$2:$J$501,Cobros!$B$2:$B$501,$A32,Cobros!$A$2:$A$501,"&gt;="&amp;DATE($B$3,$B$4,1),Cobros!$A$2:$A$501,"&lt;"&amp;DATE($B$3,$B$4+1,1)))</f>
        <v/>
      </c>
      <c r="G32" s="22" t="str">
        <f aca="false">IF($A32="","",SUMIFS(Cobros!$H$2:$H$501,Cobros!$B$2:$B$501,$A32,Cobros!$E$2:$E$501,"Efectivo",Cobros!$A$2:$A$501,"&gt;="&amp;DATE($B$3,$B$4,1),Cobros!$A$2:$A$501,"&lt;"&amp;DATE($B$3,$B$4+1,1)))</f>
        <v/>
      </c>
      <c r="H32" s="22" t="str">
        <f aca="false">IF($A32="","",SUMIFS(Cobros!$H$2:$H$501,Cobros!$B$2:$B$501,$A32,Cobros!$E$2:$E$501,"Transferencia",Cobros!$A$2:$A$501,"&gt;="&amp;DATE($B$3,$B$4,1),Cobros!$A$2:$A$501,"&lt;"&amp;DATE($B$3,$B$4+1,1)))</f>
        <v/>
      </c>
    </row>
    <row r="33" customFormat="false" ht="15" hidden="false" customHeight="false" outlineLevel="0" collapsed="false">
      <c r="A33" s="30" t="str">
        <f aca="false">IF(Configuración!A31="","",Configuración!A31)</f>
        <v/>
      </c>
      <c r="B33" s="22" t="str">
        <f aca="false">IF($A33="","",SUMIFS(Cobros!$F$2:$F$501,Cobros!$B$2:$B$501,$A33,Cobros!$A$2:$A$501,"&gt;="&amp;DATE($B$3,$B$4,1),Cobros!$A$2:$A$501,"&lt;"&amp;DATE($B$3,$B$4+1,1)))</f>
        <v/>
      </c>
      <c r="C33" s="22" t="str">
        <f aca="false">IF($A33="","",SUMIFS(Cobros!$G$2:$G$501,Cobros!$B$2:$B$501,$A33,Cobros!$A$2:$A$501,"&gt;="&amp;DATE($B$3,$B$4,1),Cobros!$A$2:$A$501,"&lt;"&amp;DATE($B$3,$B$4+1,1)))</f>
        <v/>
      </c>
      <c r="D33" s="22" t="str">
        <f aca="false">IF($A33="","",SUMIFS(Cobros!$H$2:$H$501,Cobros!$B$2:$B$501,$A33,Cobros!$A$2:$A$501,"&gt;="&amp;DATE($B$3,$B$4,1),Cobros!$A$2:$A$501,"&lt;"&amp;DATE($B$3,$B$4+1,1)))</f>
        <v/>
      </c>
      <c r="E33" s="22" t="str">
        <f aca="false">IF($A33="","",SUMIFS(Cobros!$I$2:$I$501,Cobros!$B$2:$B$501,$A33,Cobros!$A$2:$A$501,"&gt;="&amp;DATE($B$3,$B$4,1),Cobros!$A$2:$A$501,"&lt;"&amp;DATE($B$3,$B$4+1,1)))</f>
        <v/>
      </c>
      <c r="F33" s="22" t="str">
        <f aca="false">IF($A33="","",SUMIFS(Cobros!$J$2:$J$501,Cobros!$B$2:$B$501,$A33,Cobros!$A$2:$A$501,"&gt;="&amp;DATE($B$3,$B$4,1),Cobros!$A$2:$A$501,"&lt;"&amp;DATE($B$3,$B$4+1,1)))</f>
        <v/>
      </c>
      <c r="G33" s="22" t="str">
        <f aca="false">IF($A33="","",SUMIFS(Cobros!$H$2:$H$501,Cobros!$B$2:$B$501,$A33,Cobros!$E$2:$E$501,"Efectivo",Cobros!$A$2:$A$501,"&gt;="&amp;DATE($B$3,$B$4,1),Cobros!$A$2:$A$501,"&lt;"&amp;DATE($B$3,$B$4+1,1)))</f>
        <v/>
      </c>
      <c r="H33" s="22" t="str">
        <f aca="false">IF($A33="","",SUMIFS(Cobros!$H$2:$H$501,Cobros!$B$2:$B$501,$A33,Cobros!$E$2:$E$501,"Transferencia",Cobros!$A$2:$A$501,"&gt;="&amp;DATE($B$3,$B$4,1),Cobros!$A$2:$A$501,"&lt;"&amp;DATE($B$3,$B$4+1,1)))</f>
        <v/>
      </c>
    </row>
    <row r="34" customFormat="false" ht="15" hidden="false" customHeight="false" outlineLevel="0" collapsed="false">
      <c r="A34" s="30" t="str">
        <f aca="false">IF(Configuración!A32="","",Configuración!A32)</f>
        <v/>
      </c>
      <c r="B34" s="22" t="str">
        <f aca="false">IF($A34="","",SUMIFS(Cobros!$F$2:$F$501,Cobros!$B$2:$B$501,$A34,Cobros!$A$2:$A$501,"&gt;="&amp;DATE($B$3,$B$4,1),Cobros!$A$2:$A$501,"&lt;"&amp;DATE($B$3,$B$4+1,1)))</f>
        <v/>
      </c>
      <c r="C34" s="22" t="str">
        <f aca="false">IF($A34="","",SUMIFS(Cobros!$G$2:$G$501,Cobros!$B$2:$B$501,$A34,Cobros!$A$2:$A$501,"&gt;="&amp;DATE($B$3,$B$4,1),Cobros!$A$2:$A$501,"&lt;"&amp;DATE($B$3,$B$4+1,1)))</f>
        <v/>
      </c>
      <c r="D34" s="22" t="str">
        <f aca="false">IF($A34="","",SUMIFS(Cobros!$H$2:$H$501,Cobros!$B$2:$B$501,$A34,Cobros!$A$2:$A$501,"&gt;="&amp;DATE($B$3,$B$4,1),Cobros!$A$2:$A$501,"&lt;"&amp;DATE($B$3,$B$4+1,1)))</f>
        <v/>
      </c>
      <c r="E34" s="22" t="str">
        <f aca="false">IF($A34="","",SUMIFS(Cobros!$I$2:$I$501,Cobros!$B$2:$B$501,$A34,Cobros!$A$2:$A$501,"&gt;="&amp;DATE($B$3,$B$4,1),Cobros!$A$2:$A$501,"&lt;"&amp;DATE($B$3,$B$4+1,1)))</f>
        <v/>
      </c>
      <c r="F34" s="22" t="str">
        <f aca="false">IF($A34="","",SUMIFS(Cobros!$J$2:$J$501,Cobros!$B$2:$B$501,$A34,Cobros!$A$2:$A$501,"&gt;="&amp;DATE($B$3,$B$4,1),Cobros!$A$2:$A$501,"&lt;"&amp;DATE($B$3,$B$4+1,1)))</f>
        <v/>
      </c>
      <c r="G34" s="22" t="str">
        <f aca="false">IF($A34="","",SUMIFS(Cobros!$H$2:$H$501,Cobros!$B$2:$B$501,$A34,Cobros!$E$2:$E$501,"Efectivo",Cobros!$A$2:$A$501,"&gt;="&amp;DATE($B$3,$B$4,1),Cobros!$A$2:$A$501,"&lt;"&amp;DATE($B$3,$B$4+1,1)))</f>
        <v/>
      </c>
      <c r="H34" s="22" t="str">
        <f aca="false">IF($A34="","",SUMIFS(Cobros!$H$2:$H$501,Cobros!$B$2:$B$501,$A34,Cobros!$E$2:$E$501,"Transferencia",Cobros!$A$2:$A$501,"&gt;="&amp;DATE($B$3,$B$4,1),Cobros!$A$2:$A$501,"&lt;"&amp;DATE($B$3,$B$4+1,1)))</f>
        <v/>
      </c>
    </row>
    <row r="35" customFormat="false" ht="15" hidden="false" customHeight="false" outlineLevel="0" collapsed="false">
      <c r="A35" s="30" t="str">
        <f aca="false">IF(Configuración!A33="","",Configuración!A33)</f>
        <v/>
      </c>
      <c r="B35" s="22" t="str">
        <f aca="false">IF($A35="","",SUMIFS(Cobros!$F$2:$F$501,Cobros!$B$2:$B$501,$A35,Cobros!$A$2:$A$501,"&gt;="&amp;DATE($B$3,$B$4,1),Cobros!$A$2:$A$501,"&lt;"&amp;DATE($B$3,$B$4+1,1)))</f>
        <v/>
      </c>
      <c r="C35" s="22" t="str">
        <f aca="false">IF($A35="","",SUMIFS(Cobros!$G$2:$G$501,Cobros!$B$2:$B$501,$A35,Cobros!$A$2:$A$501,"&gt;="&amp;DATE($B$3,$B$4,1),Cobros!$A$2:$A$501,"&lt;"&amp;DATE($B$3,$B$4+1,1)))</f>
        <v/>
      </c>
      <c r="D35" s="22" t="str">
        <f aca="false">IF($A35="","",SUMIFS(Cobros!$H$2:$H$501,Cobros!$B$2:$B$501,$A35,Cobros!$A$2:$A$501,"&gt;="&amp;DATE($B$3,$B$4,1),Cobros!$A$2:$A$501,"&lt;"&amp;DATE($B$3,$B$4+1,1)))</f>
        <v/>
      </c>
      <c r="E35" s="22" t="str">
        <f aca="false">IF($A35="","",SUMIFS(Cobros!$I$2:$I$501,Cobros!$B$2:$B$501,$A35,Cobros!$A$2:$A$501,"&gt;="&amp;DATE($B$3,$B$4,1),Cobros!$A$2:$A$501,"&lt;"&amp;DATE($B$3,$B$4+1,1)))</f>
        <v/>
      </c>
      <c r="F35" s="22" t="str">
        <f aca="false">IF($A35="","",SUMIFS(Cobros!$J$2:$J$501,Cobros!$B$2:$B$501,$A35,Cobros!$A$2:$A$501,"&gt;="&amp;DATE($B$3,$B$4,1),Cobros!$A$2:$A$501,"&lt;"&amp;DATE($B$3,$B$4+1,1)))</f>
        <v/>
      </c>
      <c r="G35" s="22" t="str">
        <f aca="false">IF($A35="","",SUMIFS(Cobros!$H$2:$H$501,Cobros!$B$2:$B$501,$A35,Cobros!$E$2:$E$501,"Efectivo",Cobros!$A$2:$A$501,"&gt;="&amp;DATE($B$3,$B$4,1),Cobros!$A$2:$A$501,"&lt;"&amp;DATE($B$3,$B$4+1,1)))</f>
        <v/>
      </c>
      <c r="H35" s="22" t="str">
        <f aca="false">IF($A35="","",SUMIFS(Cobros!$H$2:$H$501,Cobros!$B$2:$B$501,$A35,Cobros!$E$2:$E$501,"Transferencia",Cobros!$A$2:$A$501,"&gt;="&amp;DATE($B$3,$B$4,1),Cobros!$A$2:$A$501,"&lt;"&amp;DATE($B$3,$B$4+1,1)))</f>
        <v/>
      </c>
    </row>
    <row r="36" customFormat="false" ht="15" hidden="false" customHeight="false" outlineLevel="0" collapsed="false">
      <c r="A36" s="30" t="str">
        <f aca="false">IF(Configuración!A34="","",Configuración!A34)</f>
        <v/>
      </c>
      <c r="B36" s="22" t="str">
        <f aca="false">IF($A36="","",SUMIFS(Cobros!$F$2:$F$501,Cobros!$B$2:$B$501,$A36,Cobros!$A$2:$A$501,"&gt;="&amp;DATE($B$3,$B$4,1),Cobros!$A$2:$A$501,"&lt;"&amp;DATE($B$3,$B$4+1,1)))</f>
        <v/>
      </c>
      <c r="C36" s="22" t="str">
        <f aca="false">IF($A36="","",SUMIFS(Cobros!$G$2:$G$501,Cobros!$B$2:$B$501,$A36,Cobros!$A$2:$A$501,"&gt;="&amp;DATE($B$3,$B$4,1),Cobros!$A$2:$A$501,"&lt;"&amp;DATE($B$3,$B$4+1,1)))</f>
        <v/>
      </c>
      <c r="D36" s="22" t="str">
        <f aca="false">IF($A36="","",SUMIFS(Cobros!$H$2:$H$501,Cobros!$B$2:$B$501,$A36,Cobros!$A$2:$A$501,"&gt;="&amp;DATE($B$3,$B$4,1),Cobros!$A$2:$A$501,"&lt;"&amp;DATE($B$3,$B$4+1,1)))</f>
        <v/>
      </c>
      <c r="E36" s="22" t="str">
        <f aca="false">IF($A36="","",SUMIFS(Cobros!$I$2:$I$501,Cobros!$B$2:$B$501,$A36,Cobros!$A$2:$A$501,"&gt;="&amp;DATE($B$3,$B$4,1),Cobros!$A$2:$A$501,"&lt;"&amp;DATE($B$3,$B$4+1,1)))</f>
        <v/>
      </c>
      <c r="F36" s="22" t="str">
        <f aca="false">IF($A36="","",SUMIFS(Cobros!$J$2:$J$501,Cobros!$B$2:$B$501,$A36,Cobros!$A$2:$A$501,"&gt;="&amp;DATE($B$3,$B$4,1),Cobros!$A$2:$A$501,"&lt;"&amp;DATE($B$3,$B$4+1,1)))</f>
        <v/>
      </c>
      <c r="G36" s="22" t="str">
        <f aca="false">IF($A36="","",SUMIFS(Cobros!$H$2:$H$501,Cobros!$B$2:$B$501,$A36,Cobros!$E$2:$E$501,"Efectivo",Cobros!$A$2:$A$501,"&gt;="&amp;DATE($B$3,$B$4,1),Cobros!$A$2:$A$501,"&lt;"&amp;DATE($B$3,$B$4+1,1)))</f>
        <v/>
      </c>
      <c r="H36" s="22" t="str">
        <f aca="false">IF($A36="","",SUMIFS(Cobros!$H$2:$H$501,Cobros!$B$2:$B$501,$A36,Cobros!$E$2:$E$501,"Transferencia",Cobros!$A$2:$A$501,"&gt;="&amp;DATE($B$3,$B$4,1),Cobros!$A$2:$A$501,"&lt;"&amp;DATE($B$3,$B$4+1,1)))</f>
        <v/>
      </c>
    </row>
    <row r="37" customFormat="false" ht="15" hidden="false" customHeight="false" outlineLevel="0" collapsed="false">
      <c r="A37" s="30" t="str">
        <f aca="false">IF(Configuración!A35="","",Configuración!A35)</f>
        <v/>
      </c>
      <c r="B37" s="22" t="str">
        <f aca="false">IF($A37="","",SUMIFS(Cobros!$F$2:$F$501,Cobros!$B$2:$B$501,$A37,Cobros!$A$2:$A$501,"&gt;="&amp;DATE($B$3,$B$4,1),Cobros!$A$2:$A$501,"&lt;"&amp;DATE($B$3,$B$4+1,1)))</f>
        <v/>
      </c>
      <c r="C37" s="22" t="str">
        <f aca="false">IF($A37="","",SUMIFS(Cobros!$G$2:$G$501,Cobros!$B$2:$B$501,$A37,Cobros!$A$2:$A$501,"&gt;="&amp;DATE($B$3,$B$4,1),Cobros!$A$2:$A$501,"&lt;"&amp;DATE($B$3,$B$4+1,1)))</f>
        <v/>
      </c>
      <c r="D37" s="22" t="str">
        <f aca="false">IF($A37="","",SUMIFS(Cobros!$H$2:$H$501,Cobros!$B$2:$B$501,$A37,Cobros!$A$2:$A$501,"&gt;="&amp;DATE($B$3,$B$4,1),Cobros!$A$2:$A$501,"&lt;"&amp;DATE($B$3,$B$4+1,1)))</f>
        <v/>
      </c>
      <c r="E37" s="22" t="str">
        <f aca="false">IF($A37="","",SUMIFS(Cobros!$I$2:$I$501,Cobros!$B$2:$B$501,$A37,Cobros!$A$2:$A$501,"&gt;="&amp;DATE($B$3,$B$4,1),Cobros!$A$2:$A$501,"&lt;"&amp;DATE($B$3,$B$4+1,1)))</f>
        <v/>
      </c>
      <c r="F37" s="22" t="str">
        <f aca="false">IF($A37="","",SUMIFS(Cobros!$J$2:$J$501,Cobros!$B$2:$B$501,$A37,Cobros!$A$2:$A$501,"&gt;="&amp;DATE($B$3,$B$4,1),Cobros!$A$2:$A$501,"&lt;"&amp;DATE($B$3,$B$4+1,1)))</f>
        <v/>
      </c>
      <c r="G37" s="22" t="str">
        <f aca="false">IF($A37="","",SUMIFS(Cobros!$H$2:$H$501,Cobros!$B$2:$B$501,$A37,Cobros!$E$2:$E$501,"Efectivo",Cobros!$A$2:$A$501,"&gt;="&amp;DATE($B$3,$B$4,1),Cobros!$A$2:$A$501,"&lt;"&amp;DATE($B$3,$B$4+1,1)))</f>
        <v/>
      </c>
      <c r="H37" s="22" t="str">
        <f aca="false">IF($A37="","",SUMIFS(Cobros!$H$2:$H$501,Cobros!$B$2:$B$501,$A37,Cobros!$E$2:$E$501,"Transferencia",Cobros!$A$2:$A$501,"&gt;="&amp;DATE($B$3,$B$4,1),Cobros!$A$2:$A$501,"&lt;"&amp;DATE($B$3,$B$4+1,1)))</f>
        <v/>
      </c>
    </row>
    <row r="38" customFormat="false" ht="15" hidden="false" customHeight="false" outlineLevel="0" collapsed="false">
      <c r="A38" s="30" t="str">
        <f aca="false">IF(Configuración!A36="","",Configuración!A36)</f>
        <v/>
      </c>
      <c r="B38" s="22" t="str">
        <f aca="false">IF($A38="","",SUMIFS(Cobros!$F$2:$F$501,Cobros!$B$2:$B$501,$A38,Cobros!$A$2:$A$501,"&gt;="&amp;DATE($B$3,$B$4,1),Cobros!$A$2:$A$501,"&lt;"&amp;DATE($B$3,$B$4+1,1)))</f>
        <v/>
      </c>
      <c r="C38" s="22" t="str">
        <f aca="false">IF($A38="","",SUMIFS(Cobros!$G$2:$G$501,Cobros!$B$2:$B$501,$A38,Cobros!$A$2:$A$501,"&gt;="&amp;DATE($B$3,$B$4,1),Cobros!$A$2:$A$501,"&lt;"&amp;DATE($B$3,$B$4+1,1)))</f>
        <v/>
      </c>
      <c r="D38" s="22" t="str">
        <f aca="false">IF($A38="","",SUMIFS(Cobros!$H$2:$H$501,Cobros!$B$2:$B$501,$A38,Cobros!$A$2:$A$501,"&gt;="&amp;DATE($B$3,$B$4,1),Cobros!$A$2:$A$501,"&lt;"&amp;DATE($B$3,$B$4+1,1)))</f>
        <v/>
      </c>
      <c r="E38" s="22" t="str">
        <f aca="false">IF($A38="","",SUMIFS(Cobros!$I$2:$I$501,Cobros!$B$2:$B$501,$A38,Cobros!$A$2:$A$501,"&gt;="&amp;DATE($B$3,$B$4,1),Cobros!$A$2:$A$501,"&lt;"&amp;DATE($B$3,$B$4+1,1)))</f>
        <v/>
      </c>
      <c r="F38" s="22" t="str">
        <f aca="false">IF($A38="","",SUMIFS(Cobros!$J$2:$J$501,Cobros!$B$2:$B$501,$A38,Cobros!$A$2:$A$501,"&gt;="&amp;DATE($B$3,$B$4,1),Cobros!$A$2:$A$501,"&lt;"&amp;DATE($B$3,$B$4+1,1)))</f>
        <v/>
      </c>
      <c r="G38" s="22" t="str">
        <f aca="false">IF($A38="","",SUMIFS(Cobros!$H$2:$H$501,Cobros!$B$2:$B$501,$A38,Cobros!$E$2:$E$501,"Efectivo",Cobros!$A$2:$A$501,"&gt;="&amp;DATE($B$3,$B$4,1),Cobros!$A$2:$A$501,"&lt;"&amp;DATE($B$3,$B$4+1,1)))</f>
        <v/>
      </c>
      <c r="H38" s="22" t="str">
        <f aca="false">IF($A38="","",SUMIFS(Cobros!$H$2:$H$501,Cobros!$B$2:$B$501,$A38,Cobros!$E$2:$E$501,"Transferencia",Cobros!$A$2:$A$501,"&gt;="&amp;DATE($B$3,$B$4,1),Cobros!$A$2:$A$501,"&lt;"&amp;DATE($B$3,$B$4+1,1)))</f>
        <v/>
      </c>
    </row>
    <row r="39" customFormat="false" ht="15" hidden="false" customHeight="false" outlineLevel="0" collapsed="false">
      <c r="A39" s="30" t="str">
        <f aca="false">IF(Configuración!A37="","",Configuración!A37)</f>
        <v/>
      </c>
      <c r="B39" s="22" t="str">
        <f aca="false">IF($A39="","",SUMIFS(Cobros!$F$2:$F$501,Cobros!$B$2:$B$501,$A39,Cobros!$A$2:$A$501,"&gt;="&amp;DATE($B$3,$B$4,1),Cobros!$A$2:$A$501,"&lt;"&amp;DATE($B$3,$B$4+1,1)))</f>
        <v/>
      </c>
      <c r="C39" s="22" t="str">
        <f aca="false">IF($A39="","",SUMIFS(Cobros!$G$2:$G$501,Cobros!$B$2:$B$501,$A39,Cobros!$A$2:$A$501,"&gt;="&amp;DATE($B$3,$B$4,1),Cobros!$A$2:$A$501,"&lt;"&amp;DATE($B$3,$B$4+1,1)))</f>
        <v/>
      </c>
      <c r="D39" s="22" t="str">
        <f aca="false">IF($A39="","",SUMIFS(Cobros!$H$2:$H$501,Cobros!$B$2:$B$501,$A39,Cobros!$A$2:$A$501,"&gt;="&amp;DATE($B$3,$B$4,1),Cobros!$A$2:$A$501,"&lt;"&amp;DATE($B$3,$B$4+1,1)))</f>
        <v/>
      </c>
      <c r="E39" s="22" t="str">
        <f aca="false">IF($A39="","",SUMIFS(Cobros!$I$2:$I$501,Cobros!$B$2:$B$501,$A39,Cobros!$A$2:$A$501,"&gt;="&amp;DATE($B$3,$B$4,1),Cobros!$A$2:$A$501,"&lt;"&amp;DATE($B$3,$B$4+1,1)))</f>
        <v/>
      </c>
      <c r="F39" s="22" t="str">
        <f aca="false">IF($A39="","",SUMIFS(Cobros!$J$2:$J$501,Cobros!$B$2:$B$501,$A39,Cobros!$A$2:$A$501,"&gt;="&amp;DATE($B$3,$B$4,1),Cobros!$A$2:$A$501,"&lt;"&amp;DATE($B$3,$B$4+1,1)))</f>
        <v/>
      </c>
      <c r="G39" s="22" t="str">
        <f aca="false">IF($A39="","",SUMIFS(Cobros!$H$2:$H$501,Cobros!$B$2:$B$501,$A39,Cobros!$E$2:$E$501,"Efectivo",Cobros!$A$2:$A$501,"&gt;="&amp;DATE($B$3,$B$4,1),Cobros!$A$2:$A$501,"&lt;"&amp;DATE($B$3,$B$4+1,1)))</f>
        <v/>
      </c>
      <c r="H39" s="22" t="str">
        <f aca="false">IF($A39="","",SUMIFS(Cobros!$H$2:$H$501,Cobros!$B$2:$B$501,$A39,Cobros!$E$2:$E$501,"Transferencia",Cobros!$A$2:$A$501,"&gt;="&amp;DATE($B$3,$B$4,1),Cobros!$A$2:$A$501,"&lt;"&amp;DATE($B$3,$B$4+1,1)))</f>
        <v/>
      </c>
    </row>
    <row r="40" customFormat="false" ht="15" hidden="false" customHeight="false" outlineLevel="0" collapsed="false">
      <c r="A40" s="30" t="str">
        <f aca="false">IF(Configuración!A38="","",Configuración!A38)</f>
        <v/>
      </c>
      <c r="B40" s="22" t="str">
        <f aca="false">IF($A40="","",SUMIFS(Cobros!$F$2:$F$501,Cobros!$B$2:$B$501,$A40,Cobros!$A$2:$A$501,"&gt;="&amp;DATE($B$3,$B$4,1),Cobros!$A$2:$A$501,"&lt;"&amp;DATE($B$3,$B$4+1,1)))</f>
        <v/>
      </c>
      <c r="C40" s="22" t="str">
        <f aca="false">IF($A40="","",SUMIFS(Cobros!$G$2:$G$501,Cobros!$B$2:$B$501,$A40,Cobros!$A$2:$A$501,"&gt;="&amp;DATE($B$3,$B$4,1),Cobros!$A$2:$A$501,"&lt;"&amp;DATE($B$3,$B$4+1,1)))</f>
        <v/>
      </c>
      <c r="D40" s="22" t="str">
        <f aca="false">IF($A40="","",SUMIFS(Cobros!$H$2:$H$501,Cobros!$B$2:$B$501,$A40,Cobros!$A$2:$A$501,"&gt;="&amp;DATE($B$3,$B$4,1),Cobros!$A$2:$A$501,"&lt;"&amp;DATE($B$3,$B$4+1,1)))</f>
        <v/>
      </c>
      <c r="E40" s="22" t="str">
        <f aca="false">IF($A40="","",SUMIFS(Cobros!$I$2:$I$501,Cobros!$B$2:$B$501,$A40,Cobros!$A$2:$A$501,"&gt;="&amp;DATE($B$3,$B$4,1),Cobros!$A$2:$A$501,"&lt;"&amp;DATE($B$3,$B$4+1,1)))</f>
        <v/>
      </c>
      <c r="F40" s="22" t="str">
        <f aca="false">IF($A40="","",SUMIFS(Cobros!$J$2:$J$501,Cobros!$B$2:$B$501,$A40,Cobros!$A$2:$A$501,"&gt;="&amp;DATE($B$3,$B$4,1),Cobros!$A$2:$A$501,"&lt;"&amp;DATE($B$3,$B$4+1,1)))</f>
        <v/>
      </c>
      <c r="G40" s="22" t="str">
        <f aca="false">IF($A40="","",SUMIFS(Cobros!$H$2:$H$501,Cobros!$B$2:$B$501,$A40,Cobros!$E$2:$E$501,"Efectivo",Cobros!$A$2:$A$501,"&gt;="&amp;DATE($B$3,$B$4,1),Cobros!$A$2:$A$501,"&lt;"&amp;DATE($B$3,$B$4+1,1)))</f>
        <v/>
      </c>
      <c r="H40" s="22" t="str">
        <f aca="false">IF($A40="","",SUMIFS(Cobros!$H$2:$H$501,Cobros!$B$2:$B$501,$A40,Cobros!$E$2:$E$501,"Transferencia",Cobros!$A$2:$A$501,"&gt;="&amp;DATE($B$3,$B$4,1),Cobros!$A$2:$A$501,"&lt;"&amp;DATE($B$3,$B$4+1,1)))</f>
        <v/>
      </c>
    </row>
    <row r="41" customFormat="false" ht="15" hidden="false" customHeight="false" outlineLevel="0" collapsed="false">
      <c r="A41" s="30" t="str">
        <f aca="false">IF(Configuración!A39="","",Configuración!A39)</f>
        <v/>
      </c>
      <c r="B41" s="22" t="str">
        <f aca="false">IF($A41="","",SUMIFS(Cobros!$F$2:$F$501,Cobros!$B$2:$B$501,$A41,Cobros!$A$2:$A$501,"&gt;="&amp;DATE($B$3,$B$4,1),Cobros!$A$2:$A$501,"&lt;"&amp;DATE($B$3,$B$4+1,1)))</f>
        <v/>
      </c>
      <c r="C41" s="22" t="str">
        <f aca="false">IF($A41="","",SUMIFS(Cobros!$G$2:$G$501,Cobros!$B$2:$B$501,$A41,Cobros!$A$2:$A$501,"&gt;="&amp;DATE($B$3,$B$4,1),Cobros!$A$2:$A$501,"&lt;"&amp;DATE($B$3,$B$4+1,1)))</f>
        <v/>
      </c>
      <c r="D41" s="22" t="str">
        <f aca="false">IF($A41="","",SUMIFS(Cobros!$H$2:$H$501,Cobros!$B$2:$B$501,$A41,Cobros!$A$2:$A$501,"&gt;="&amp;DATE($B$3,$B$4,1),Cobros!$A$2:$A$501,"&lt;"&amp;DATE($B$3,$B$4+1,1)))</f>
        <v/>
      </c>
      <c r="E41" s="22" t="str">
        <f aca="false">IF($A41="","",SUMIFS(Cobros!$I$2:$I$501,Cobros!$B$2:$B$501,$A41,Cobros!$A$2:$A$501,"&gt;="&amp;DATE($B$3,$B$4,1),Cobros!$A$2:$A$501,"&lt;"&amp;DATE($B$3,$B$4+1,1)))</f>
        <v/>
      </c>
      <c r="F41" s="22" t="str">
        <f aca="false">IF($A41="","",SUMIFS(Cobros!$J$2:$J$501,Cobros!$B$2:$B$501,$A41,Cobros!$A$2:$A$501,"&gt;="&amp;DATE($B$3,$B$4,1),Cobros!$A$2:$A$501,"&lt;"&amp;DATE($B$3,$B$4+1,1)))</f>
        <v/>
      </c>
      <c r="G41" s="22" t="str">
        <f aca="false">IF($A41="","",SUMIFS(Cobros!$H$2:$H$501,Cobros!$B$2:$B$501,$A41,Cobros!$E$2:$E$501,"Efectivo",Cobros!$A$2:$A$501,"&gt;="&amp;DATE($B$3,$B$4,1),Cobros!$A$2:$A$501,"&lt;"&amp;DATE($B$3,$B$4+1,1)))</f>
        <v/>
      </c>
      <c r="H41" s="22" t="str">
        <f aca="false">IF($A41="","",SUMIFS(Cobros!$H$2:$H$501,Cobros!$B$2:$B$501,$A41,Cobros!$E$2:$E$501,"Transferencia",Cobros!$A$2:$A$501,"&gt;="&amp;DATE($B$3,$B$4,1),Cobros!$A$2:$A$501,"&lt;"&amp;DATE($B$3,$B$4+1,1)))</f>
        <v/>
      </c>
    </row>
    <row r="42" customFormat="false" ht="15" hidden="false" customHeight="false" outlineLevel="0" collapsed="false">
      <c r="A42" s="30" t="str">
        <f aca="false">IF(Configuración!A40="","",Configuración!A40)</f>
        <v/>
      </c>
      <c r="B42" s="22" t="str">
        <f aca="false">IF($A42="","",SUMIFS(Cobros!$F$2:$F$501,Cobros!$B$2:$B$501,$A42,Cobros!$A$2:$A$501,"&gt;="&amp;DATE($B$3,$B$4,1),Cobros!$A$2:$A$501,"&lt;"&amp;DATE($B$3,$B$4+1,1)))</f>
        <v/>
      </c>
      <c r="C42" s="22" t="str">
        <f aca="false">IF($A42="","",SUMIFS(Cobros!$G$2:$G$501,Cobros!$B$2:$B$501,$A42,Cobros!$A$2:$A$501,"&gt;="&amp;DATE($B$3,$B$4,1),Cobros!$A$2:$A$501,"&lt;"&amp;DATE($B$3,$B$4+1,1)))</f>
        <v/>
      </c>
      <c r="D42" s="22" t="str">
        <f aca="false">IF($A42="","",SUMIFS(Cobros!$H$2:$H$501,Cobros!$B$2:$B$501,$A42,Cobros!$A$2:$A$501,"&gt;="&amp;DATE($B$3,$B$4,1),Cobros!$A$2:$A$501,"&lt;"&amp;DATE($B$3,$B$4+1,1)))</f>
        <v/>
      </c>
      <c r="E42" s="22" t="str">
        <f aca="false">IF($A42="","",SUMIFS(Cobros!$I$2:$I$501,Cobros!$B$2:$B$501,$A42,Cobros!$A$2:$A$501,"&gt;="&amp;DATE($B$3,$B$4,1),Cobros!$A$2:$A$501,"&lt;"&amp;DATE($B$3,$B$4+1,1)))</f>
        <v/>
      </c>
      <c r="F42" s="22" t="str">
        <f aca="false">IF($A42="","",SUMIFS(Cobros!$J$2:$J$501,Cobros!$B$2:$B$501,$A42,Cobros!$A$2:$A$501,"&gt;="&amp;DATE($B$3,$B$4,1),Cobros!$A$2:$A$501,"&lt;"&amp;DATE($B$3,$B$4+1,1)))</f>
        <v/>
      </c>
      <c r="G42" s="22" t="str">
        <f aca="false">IF($A42="","",SUMIFS(Cobros!$H$2:$H$501,Cobros!$B$2:$B$501,$A42,Cobros!$E$2:$E$501,"Efectivo",Cobros!$A$2:$A$501,"&gt;="&amp;DATE($B$3,$B$4,1),Cobros!$A$2:$A$501,"&lt;"&amp;DATE($B$3,$B$4+1,1)))</f>
        <v/>
      </c>
      <c r="H42" s="22" t="str">
        <f aca="false">IF($A42="","",SUMIFS(Cobros!$H$2:$H$501,Cobros!$B$2:$B$501,$A42,Cobros!$E$2:$E$501,"Transferencia",Cobros!$A$2:$A$501,"&gt;="&amp;DATE($B$3,$B$4,1),Cobros!$A$2:$A$501,"&lt;"&amp;DATE($B$3,$B$4+1,1)))</f>
        <v/>
      </c>
    </row>
    <row r="43" customFormat="false" ht="15" hidden="false" customHeight="false" outlineLevel="0" collapsed="false">
      <c r="A43" s="30" t="str">
        <f aca="false">IF(Configuración!A41="","",Configuración!A41)</f>
        <v/>
      </c>
      <c r="B43" s="22" t="str">
        <f aca="false">IF($A43="","",SUMIFS(Cobros!$F$2:$F$501,Cobros!$B$2:$B$501,$A43,Cobros!$A$2:$A$501,"&gt;="&amp;DATE($B$3,$B$4,1),Cobros!$A$2:$A$501,"&lt;"&amp;DATE($B$3,$B$4+1,1)))</f>
        <v/>
      </c>
      <c r="C43" s="22" t="str">
        <f aca="false">IF($A43="","",SUMIFS(Cobros!$G$2:$G$501,Cobros!$B$2:$B$501,$A43,Cobros!$A$2:$A$501,"&gt;="&amp;DATE($B$3,$B$4,1),Cobros!$A$2:$A$501,"&lt;"&amp;DATE($B$3,$B$4+1,1)))</f>
        <v/>
      </c>
      <c r="D43" s="22" t="str">
        <f aca="false">IF($A43="","",SUMIFS(Cobros!$H$2:$H$501,Cobros!$B$2:$B$501,$A43,Cobros!$A$2:$A$501,"&gt;="&amp;DATE($B$3,$B$4,1),Cobros!$A$2:$A$501,"&lt;"&amp;DATE($B$3,$B$4+1,1)))</f>
        <v/>
      </c>
      <c r="E43" s="22" t="str">
        <f aca="false">IF($A43="","",SUMIFS(Cobros!$I$2:$I$501,Cobros!$B$2:$B$501,$A43,Cobros!$A$2:$A$501,"&gt;="&amp;DATE($B$3,$B$4,1),Cobros!$A$2:$A$501,"&lt;"&amp;DATE($B$3,$B$4+1,1)))</f>
        <v/>
      </c>
      <c r="F43" s="22" t="str">
        <f aca="false">IF($A43="","",SUMIFS(Cobros!$J$2:$J$501,Cobros!$B$2:$B$501,$A43,Cobros!$A$2:$A$501,"&gt;="&amp;DATE($B$3,$B$4,1),Cobros!$A$2:$A$501,"&lt;"&amp;DATE($B$3,$B$4+1,1)))</f>
        <v/>
      </c>
      <c r="G43" s="22" t="str">
        <f aca="false">IF($A43="","",SUMIFS(Cobros!$H$2:$H$501,Cobros!$B$2:$B$501,$A43,Cobros!$E$2:$E$501,"Efectivo",Cobros!$A$2:$A$501,"&gt;="&amp;DATE($B$3,$B$4,1),Cobros!$A$2:$A$501,"&lt;"&amp;DATE($B$3,$B$4+1,1)))</f>
        <v/>
      </c>
      <c r="H43" s="22" t="str">
        <f aca="false">IF($A43="","",SUMIFS(Cobros!$H$2:$H$501,Cobros!$B$2:$B$501,$A43,Cobros!$E$2:$E$501,"Transferencia",Cobros!$A$2:$A$501,"&gt;="&amp;DATE($B$3,$B$4,1),Cobros!$A$2:$A$501,"&lt;"&amp;DATE($B$3,$B$4+1,1)))</f>
        <v/>
      </c>
    </row>
    <row r="44" customFormat="false" ht="15" hidden="false" customHeight="false" outlineLevel="0" collapsed="false">
      <c r="A44" s="30" t="str">
        <f aca="false">IF(Configuración!A42="","",Configuración!A42)</f>
        <v/>
      </c>
      <c r="B44" s="22" t="str">
        <f aca="false">IF($A44="","",SUMIFS(Cobros!$F$2:$F$501,Cobros!$B$2:$B$501,$A44,Cobros!$A$2:$A$501,"&gt;="&amp;DATE($B$3,$B$4,1),Cobros!$A$2:$A$501,"&lt;"&amp;DATE($B$3,$B$4+1,1)))</f>
        <v/>
      </c>
      <c r="C44" s="22" t="str">
        <f aca="false">IF($A44="","",SUMIFS(Cobros!$G$2:$G$501,Cobros!$B$2:$B$501,$A44,Cobros!$A$2:$A$501,"&gt;="&amp;DATE($B$3,$B$4,1),Cobros!$A$2:$A$501,"&lt;"&amp;DATE($B$3,$B$4+1,1)))</f>
        <v/>
      </c>
      <c r="D44" s="22" t="str">
        <f aca="false">IF($A44="","",SUMIFS(Cobros!$H$2:$H$501,Cobros!$B$2:$B$501,$A44,Cobros!$A$2:$A$501,"&gt;="&amp;DATE($B$3,$B$4,1),Cobros!$A$2:$A$501,"&lt;"&amp;DATE($B$3,$B$4+1,1)))</f>
        <v/>
      </c>
      <c r="E44" s="22" t="str">
        <f aca="false">IF($A44="","",SUMIFS(Cobros!$I$2:$I$501,Cobros!$B$2:$B$501,$A44,Cobros!$A$2:$A$501,"&gt;="&amp;DATE($B$3,$B$4,1),Cobros!$A$2:$A$501,"&lt;"&amp;DATE($B$3,$B$4+1,1)))</f>
        <v/>
      </c>
      <c r="F44" s="22" t="str">
        <f aca="false">IF($A44="","",SUMIFS(Cobros!$J$2:$J$501,Cobros!$B$2:$B$501,$A44,Cobros!$A$2:$A$501,"&gt;="&amp;DATE($B$3,$B$4,1),Cobros!$A$2:$A$501,"&lt;"&amp;DATE($B$3,$B$4+1,1)))</f>
        <v/>
      </c>
      <c r="G44" s="22" t="str">
        <f aca="false">IF($A44="","",SUMIFS(Cobros!$H$2:$H$501,Cobros!$B$2:$B$501,$A44,Cobros!$E$2:$E$501,"Efectivo",Cobros!$A$2:$A$501,"&gt;="&amp;DATE($B$3,$B$4,1),Cobros!$A$2:$A$501,"&lt;"&amp;DATE($B$3,$B$4+1,1)))</f>
        <v/>
      </c>
      <c r="H44" s="22" t="str">
        <f aca="false">IF($A44="","",SUMIFS(Cobros!$H$2:$H$501,Cobros!$B$2:$B$501,$A44,Cobros!$E$2:$E$501,"Transferencia",Cobros!$A$2:$A$501,"&gt;="&amp;DATE($B$3,$B$4,1),Cobros!$A$2:$A$501,"&lt;"&amp;DATE($B$3,$B$4+1,1)))</f>
        <v/>
      </c>
    </row>
    <row r="45" customFormat="false" ht="15" hidden="false" customHeight="false" outlineLevel="0" collapsed="false">
      <c r="A45" s="30" t="str">
        <f aca="false">IF(Configuración!A43="","",Configuración!A43)</f>
        <v/>
      </c>
      <c r="B45" s="22" t="str">
        <f aca="false">IF($A45="","",SUMIFS(Cobros!$F$2:$F$501,Cobros!$B$2:$B$501,$A45,Cobros!$A$2:$A$501,"&gt;="&amp;DATE($B$3,$B$4,1),Cobros!$A$2:$A$501,"&lt;"&amp;DATE($B$3,$B$4+1,1)))</f>
        <v/>
      </c>
      <c r="C45" s="22" t="str">
        <f aca="false">IF($A45="","",SUMIFS(Cobros!$G$2:$G$501,Cobros!$B$2:$B$501,$A45,Cobros!$A$2:$A$501,"&gt;="&amp;DATE($B$3,$B$4,1),Cobros!$A$2:$A$501,"&lt;"&amp;DATE($B$3,$B$4+1,1)))</f>
        <v/>
      </c>
      <c r="D45" s="22" t="str">
        <f aca="false">IF($A45="","",SUMIFS(Cobros!$H$2:$H$501,Cobros!$B$2:$B$501,$A45,Cobros!$A$2:$A$501,"&gt;="&amp;DATE($B$3,$B$4,1),Cobros!$A$2:$A$501,"&lt;"&amp;DATE($B$3,$B$4+1,1)))</f>
        <v/>
      </c>
      <c r="E45" s="22" t="str">
        <f aca="false">IF($A45="","",SUMIFS(Cobros!$I$2:$I$501,Cobros!$B$2:$B$501,$A45,Cobros!$A$2:$A$501,"&gt;="&amp;DATE($B$3,$B$4,1),Cobros!$A$2:$A$501,"&lt;"&amp;DATE($B$3,$B$4+1,1)))</f>
        <v/>
      </c>
      <c r="F45" s="22" t="str">
        <f aca="false">IF($A45="","",SUMIFS(Cobros!$J$2:$J$501,Cobros!$B$2:$B$501,$A45,Cobros!$A$2:$A$501,"&gt;="&amp;DATE($B$3,$B$4,1),Cobros!$A$2:$A$501,"&lt;"&amp;DATE($B$3,$B$4+1,1)))</f>
        <v/>
      </c>
      <c r="G45" s="22" t="str">
        <f aca="false">IF($A45="","",SUMIFS(Cobros!$H$2:$H$501,Cobros!$B$2:$B$501,$A45,Cobros!$E$2:$E$501,"Efectivo",Cobros!$A$2:$A$501,"&gt;="&amp;DATE($B$3,$B$4,1),Cobros!$A$2:$A$501,"&lt;"&amp;DATE($B$3,$B$4+1,1)))</f>
        <v/>
      </c>
      <c r="H45" s="22" t="str">
        <f aca="false">IF($A45="","",SUMIFS(Cobros!$H$2:$H$501,Cobros!$B$2:$B$501,$A45,Cobros!$E$2:$E$501,"Transferencia",Cobros!$A$2:$A$501,"&gt;="&amp;DATE($B$3,$B$4,1),Cobros!$A$2:$A$501,"&lt;"&amp;DATE($B$3,$B$4+1,1)))</f>
        <v/>
      </c>
    </row>
    <row r="46" customFormat="false" ht="15" hidden="false" customHeight="false" outlineLevel="0" collapsed="false">
      <c r="A46" s="30" t="str">
        <f aca="false">IF(Configuración!A44="","",Configuración!A44)</f>
        <v/>
      </c>
      <c r="B46" s="22" t="str">
        <f aca="false">IF($A46="","",SUMIFS(Cobros!$F$2:$F$501,Cobros!$B$2:$B$501,$A46,Cobros!$A$2:$A$501,"&gt;="&amp;DATE($B$3,$B$4,1),Cobros!$A$2:$A$501,"&lt;"&amp;DATE($B$3,$B$4+1,1)))</f>
        <v/>
      </c>
      <c r="C46" s="22" t="str">
        <f aca="false">IF($A46="","",SUMIFS(Cobros!$G$2:$G$501,Cobros!$B$2:$B$501,$A46,Cobros!$A$2:$A$501,"&gt;="&amp;DATE($B$3,$B$4,1),Cobros!$A$2:$A$501,"&lt;"&amp;DATE($B$3,$B$4+1,1)))</f>
        <v/>
      </c>
      <c r="D46" s="22" t="str">
        <f aca="false">IF($A46="","",SUMIFS(Cobros!$H$2:$H$501,Cobros!$B$2:$B$501,$A46,Cobros!$A$2:$A$501,"&gt;="&amp;DATE($B$3,$B$4,1),Cobros!$A$2:$A$501,"&lt;"&amp;DATE($B$3,$B$4+1,1)))</f>
        <v/>
      </c>
      <c r="E46" s="22" t="str">
        <f aca="false">IF($A46="","",SUMIFS(Cobros!$I$2:$I$501,Cobros!$B$2:$B$501,$A46,Cobros!$A$2:$A$501,"&gt;="&amp;DATE($B$3,$B$4,1),Cobros!$A$2:$A$501,"&lt;"&amp;DATE($B$3,$B$4+1,1)))</f>
        <v/>
      </c>
      <c r="F46" s="22" t="str">
        <f aca="false">IF($A46="","",SUMIFS(Cobros!$J$2:$J$501,Cobros!$B$2:$B$501,$A46,Cobros!$A$2:$A$501,"&gt;="&amp;DATE($B$3,$B$4,1),Cobros!$A$2:$A$501,"&lt;"&amp;DATE($B$3,$B$4+1,1)))</f>
        <v/>
      </c>
      <c r="G46" s="22" t="str">
        <f aca="false">IF($A46="","",SUMIFS(Cobros!$H$2:$H$501,Cobros!$B$2:$B$501,$A46,Cobros!$E$2:$E$501,"Efectivo",Cobros!$A$2:$A$501,"&gt;="&amp;DATE($B$3,$B$4,1),Cobros!$A$2:$A$501,"&lt;"&amp;DATE($B$3,$B$4+1,1)))</f>
        <v/>
      </c>
      <c r="H46" s="22" t="str">
        <f aca="false">IF($A46="","",SUMIFS(Cobros!$H$2:$H$501,Cobros!$B$2:$B$501,$A46,Cobros!$E$2:$E$501,"Transferencia",Cobros!$A$2:$A$501,"&gt;="&amp;DATE($B$3,$B$4,1),Cobros!$A$2:$A$501,"&lt;"&amp;DATE($B$3,$B$4+1,1)))</f>
        <v/>
      </c>
    </row>
    <row r="47" customFormat="false" ht="15" hidden="false" customHeight="false" outlineLevel="0" collapsed="false">
      <c r="A47" s="30" t="str">
        <f aca="false">IF(Configuración!A45="","",Configuración!A45)</f>
        <v/>
      </c>
      <c r="B47" s="22" t="str">
        <f aca="false">IF($A47="","",SUMIFS(Cobros!$F$2:$F$501,Cobros!$B$2:$B$501,$A47,Cobros!$A$2:$A$501,"&gt;="&amp;DATE($B$3,$B$4,1),Cobros!$A$2:$A$501,"&lt;"&amp;DATE($B$3,$B$4+1,1)))</f>
        <v/>
      </c>
      <c r="C47" s="22" t="str">
        <f aca="false">IF($A47="","",SUMIFS(Cobros!$G$2:$G$501,Cobros!$B$2:$B$501,$A47,Cobros!$A$2:$A$501,"&gt;="&amp;DATE($B$3,$B$4,1),Cobros!$A$2:$A$501,"&lt;"&amp;DATE($B$3,$B$4+1,1)))</f>
        <v/>
      </c>
      <c r="D47" s="22" t="str">
        <f aca="false">IF($A47="","",SUMIFS(Cobros!$H$2:$H$501,Cobros!$B$2:$B$501,$A47,Cobros!$A$2:$A$501,"&gt;="&amp;DATE($B$3,$B$4,1),Cobros!$A$2:$A$501,"&lt;"&amp;DATE($B$3,$B$4+1,1)))</f>
        <v/>
      </c>
      <c r="E47" s="22" t="str">
        <f aca="false">IF($A47="","",SUMIFS(Cobros!$I$2:$I$501,Cobros!$B$2:$B$501,$A47,Cobros!$A$2:$A$501,"&gt;="&amp;DATE($B$3,$B$4,1),Cobros!$A$2:$A$501,"&lt;"&amp;DATE($B$3,$B$4+1,1)))</f>
        <v/>
      </c>
      <c r="F47" s="22" t="str">
        <f aca="false">IF($A47="","",SUMIFS(Cobros!$J$2:$J$501,Cobros!$B$2:$B$501,$A47,Cobros!$A$2:$A$501,"&gt;="&amp;DATE($B$3,$B$4,1),Cobros!$A$2:$A$501,"&lt;"&amp;DATE($B$3,$B$4+1,1)))</f>
        <v/>
      </c>
      <c r="G47" s="22" t="str">
        <f aca="false">IF($A47="","",SUMIFS(Cobros!$H$2:$H$501,Cobros!$B$2:$B$501,$A47,Cobros!$E$2:$E$501,"Efectivo",Cobros!$A$2:$A$501,"&gt;="&amp;DATE($B$3,$B$4,1),Cobros!$A$2:$A$501,"&lt;"&amp;DATE($B$3,$B$4+1,1)))</f>
        <v/>
      </c>
      <c r="H47" s="22" t="str">
        <f aca="false">IF($A47="","",SUMIFS(Cobros!$H$2:$H$501,Cobros!$B$2:$B$501,$A47,Cobros!$E$2:$E$501,"Transferencia",Cobros!$A$2:$A$501,"&gt;="&amp;DATE($B$3,$B$4,1),Cobros!$A$2:$A$501,"&lt;"&amp;DATE($B$3,$B$4+1,1)))</f>
        <v/>
      </c>
    </row>
    <row r="48" customFormat="false" ht="15" hidden="false" customHeight="false" outlineLevel="0" collapsed="false">
      <c r="A48" s="23" t="s">
        <v>108</v>
      </c>
      <c r="B48" s="25" t="n">
        <f aca="false">SUM(B18:B47)</f>
        <v>3500</v>
      </c>
      <c r="C48" s="25" t="n">
        <f aca="false">SUM(C18:C47)</f>
        <v>735</v>
      </c>
      <c r="D48" s="25" t="n">
        <f aca="false">SUM(D18:D47)</f>
        <v>4235</v>
      </c>
      <c r="E48" s="25" t="n">
        <f aca="false">SUM(E18:E47)</f>
        <v>525</v>
      </c>
      <c r="F48" s="25" t="n">
        <f aca="false">SUM(F18:F47)</f>
        <v>2975</v>
      </c>
      <c r="G48" s="25" t="n">
        <f aca="false">SUM(G18:G47)</f>
        <v>968</v>
      </c>
      <c r="H48" s="25" t="n">
        <f aca="false">SUM(H18:H47)</f>
        <v>3267</v>
      </c>
    </row>
  </sheetData>
  <dataValidations count="1">
    <dataValidation allowBlank="false" error="Escribe un número del 1 al 12" errorStyle="stop" operator="between" showDropDown="false" showErrorMessage="true" showInputMessage="false" sqref="B4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11"/>
    <col collapsed="false" customWidth="true" hidden="false" outlineLevel="0" max="14" min="14" style="0" width="13"/>
    <col collapsed="false" customWidth="true" hidden="false" outlineLevel="0" max="15" min="15" style="0" width="11"/>
  </cols>
  <sheetData>
    <row r="1" customFormat="false" ht="19.7" hidden="false" customHeight="false" outlineLevel="0" collapsed="false">
      <c r="A1" s="1" t="s">
        <v>109</v>
      </c>
    </row>
    <row r="2" customFormat="false" ht="15" hidden="false" customHeight="false" outlineLevel="0" collapsed="false">
      <c r="A2" s="18" t="s">
        <v>38</v>
      </c>
      <c r="B2" s="19" t="n">
        <f aca="false">Configuración!$B$13</f>
        <v>2026</v>
      </c>
      <c r="C2" s="11" t="s">
        <v>64</v>
      </c>
    </row>
    <row r="4" customFormat="false" ht="21.75" hidden="false" customHeight="true" outlineLevel="0" collapsed="false">
      <c r="A4" s="7" t="s">
        <v>50</v>
      </c>
      <c r="B4" s="7" t="s">
        <v>110</v>
      </c>
      <c r="C4" s="7" t="s">
        <v>111</v>
      </c>
      <c r="D4" s="7" t="s">
        <v>112</v>
      </c>
      <c r="E4" s="7" t="s">
        <v>113</v>
      </c>
      <c r="F4" s="7" t="s">
        <v>114</v>
      </c>
      <c r="G4" s="7" t="s">
        <v>115</v>
      </c>
      <c r="H4" s="7" t="s">
        <v>116</v>
      </c>
      <c r="I4" s="7" t="s">
        <v>117</v>
      </c>
      <c r="J4" s="7" t="s">
        <v>118</v>
      </c>
      <c r="K4" s="7" t="s">
        <v>119</v>
      </c>
      <c r="L4" s="7" t="s">
        <v>120</v>
      </c>
      <c r="M4" s="7" t="s">
        <v>121</v>
      </c>
      <c r="N4" s="7" t="s">
        <v>83</v>
      </c>
      <c r="O4" s="7" t="s">
        <v>122</v>
      </c>
    </row>
    <row r="5" customFormat="false" ht="15" hidden="false" customHeight="false" outlineLevel="0" collapsed="false">
      <c r="A5" s="30" t="str">
        <f aca="false">IF(Configuración!A16="","",Configuración!A16)</f>
        <v>Cliente A (ejemplo)</v>
      </c>
      <c r="B5" s="22" t="n">
        <f aca="false">IF($A5="","",SUMIFS(Cobros!$F$2:$F$501,Cobros!$B$2:$B$501,$A5,Cobros!$A$2:$A$501,"&gt;="&amp;DATE($B$2,1,1),Cobros!$A$2:$A$501,"&lt;"&amp;DATE($B$2,1+1,1)))</f>
        <v>0</v>
      </c>
      <c r="C5" s="22" t="n">
        <f aca="false">IF($A5="","",SUMIFS(Cobros!$F$2:$F$501,Cobros!$B$2:$B$501,$A5,Cobros!$A$2:$A$501,"&gt;="&amp;DATE($B$2,2,1),Cobros!$A$2:$A$501,"&lt;"&amp;DATE($B$2,2+1,1)))</f>
        <v>0</v>
      </c>
      <c r="D5" s="22" t="n">
        <f aca="false">IF($A5="","",SUMIFS(Cobros!$F$2:$F$501,Cobros!$B$2:$B$501,$A5,Cobros!$A$2:$A$501,"&gt;="&amp;DATE($B$2,3,1),Cobros!$A$2:$A$501,"&lt;"&amp;DATE($B$2,3+1,1)))</f>
        <v>0</v>
      </c>
      <c r="E5" s="22" t="n">
        <f aca="false">IF($A5="","",SUMIFS(Cobros!$F$2:$F$501,Cobros!$B$2:$B$501,$A5,Cobros!$A$2:$A$501,"&gt;="&amp;DATE($B$2,4,1),Cobros!$A$2:$A$501,"&lt;"&amp;DATE($B$2,4+1,1)))</f>
        <v>0</v>
      </c>
      <c r="F5" s="22" t="n">
        <f aca="false">IF($A5="","",SUMIFS(Cobros!$F$2:$F$501,Cobros!$B$2:$B$501,$A5,Cobros!$A$2:$A$501,"&gt;="&amp;DATE($B$2,5,1),Cobros!$A$2:$A$501,"&lt;"&amp;DATE($B$2,5+1,1)))</f>
        <v>0</v>
      </c>
      <c r="G5" s="22" t="n">
        <f aca="false">IF($A5="","",SUMIFS(Cobros!$F$2:$F$501,Cobros!$B$2:$B$501,$A5,Cobros!$A$2:$A$501,"&gt;="&amp;DATE($B$2,6,1),Cobros!$A$2:$A$501,"&lt;"&amp;DATE($B$2,6+1,1)))</f>
        <v>0</v>
      </c>
      <c r="H5" s="22" t="n">
        <f aca="false">IF($A5="","",SUMIFS(Cobros!$F$2:$F$501,Cobros!$B$2:$B$501,$A5,Cobros!$A$2:$A$501,"&gt;="&amp;DATE($B$2,7,1),Cobros!$A$2:$A$501,"&lt;"&amp;DATE($B$2,7+1,1)))</f>
        <v>0</v>
      </c>
      <c r="I5" s="22" t="n">
        <f aca="false">IF($A5="","",SUMIFS(Cobros!$F$2:$F$501,Cobros!$B$2:$B$501,$A5,Cobros!$A$2:$A$501,"&gt;="&amp;DATE($B$2,8,1),Cobros!$A$2:$A$501,"&lt;"&amp;DATE($B$2,8+1,1)))</f>
        <v>0</v>
      </c>
      <c r="J5" s="22" t="n">
        <f aca="false">IF($A5="","",SUMIFS(Cobros!$F$2:$F$501,Cobros!$B$2:$B$501,$A5,Cobros!$A$2:$A$501,"&gt;="&amp;DATE($B$2,9,1),Cobros!$A$2:$A$501,"&lt;"&amp;DATE($B$2,9+1,1)))</f>
        <v>1200</v>
      </c>
      <c r="K5" s="22" t="n">
        <f aca="false">IF($A5="","",SUMIFS(Cobros!$F$2:$F$501,Cobros!$B$2:$B$501,$A5,Cobros!$A$2:$A$501,"&gt;="&amp;DATE($B$2,10,1),Cobros!$A$2:$A$501,"&lt;"&amp;DATE($B$2,10+1,1)))</f>
        <v>1200</v>
      </c>
      <c r="L5" s="22" t="n">
        <f aca="false">IF($A5="","",SUMIFS(Cobros!$F$2:$F$501,Cobros!$B$2:$B$501,$A5,Cobros!$A$2:$A$501,"&gt;="&amp;DATE($B$2,11,1),Cobros!$A$2:$A$501,"&lt;"&amp;DATE($B$2,11+1,1)))</f>
        <v>0</v>
      </c>
      <c r="M5" s="22" t="n">
        <f aca="false">IF($A5="","",SUMIFS(Cobros!$F$2:$F$501,Cobros!$B$2:$B$501,$A5,Cobros!$A$2:$A$501,"&gt;="&amp;DATE($B$2,12,1),Cobros!$A$2:$A$501,"&lt;"&amp;DATE($B$2,12+1,1)))</f>
        <v>0</v>
      </c>
      <c r="N5" s="31" t="n">
        <f aca="false">IF($A5="","",SUM(B5:M5))</f>
        <v>2400</v>
      </c>
      <c r="O5" s="32" t="n">
        <f aca="false">IF($A5="","",IF($N$35=0,0,N5/$N$35))</f>
        <v>0.436363636363636</v>
      </c>
    </row>
    <row r="6" customFormat="false" ht="15" hidden="false" customHeight="false" outlineLevel="0" collapsed="false">
      <c r="A6" s="30" t="str">
        <f aca="false">IF(Configuración!A17="","",Configuración!A17)</f>
        <v>Cliente B (ejemplo)</v>
      </c>
      <c r="B6" s="22" t="n">
        <f aca="false">IF($A6="","",SUMIFS(Cobros!$F$2:$F$501,Cobros!$B$2:$B$501,$A6,Cobros!$A$2:$A$501,"&gt;="&amp;DATE($B$2,1,1),Cobros!$A$2:$A$501,"&lt;"&amp;DATE($B$2,1+1,1)))</f>
        <v>0</v>
      </c>
      <c r="C6" s="22" t="n">
        <f aca="false">IF($A6="","",SUMIFS(Cobros!$F$2:$F$501,Cobros!$B$2:$B$501,$A6,Cobros!$A$2:$A$501,"&gt;="&amp;DATE($B$2,2,1),Cobros!$A$2:$A$501,"&lt;"&amp;DATE($B$2,2+1,1)))</f>
        <v>0</v>
      </c>
      <c r="D6" s="22" t="n">
        <f aca="false">IF($A6="","",SUMIFS(Cobros!$F$2:$F$501,Cobros!$B$2:$B$501,$A6,Cobros!$A$2:$A$501,"&gt;="&amp;DATE($B$2,3,1),Cobros!$A$2:$A$501,"&lt;"&amp;DATE($B$2,3+1,1)))</f>
        <v>0</v>
      </c>
      <c r="E6" s="22" t="n">
        <f aca="false">IF($A6="","",SUMIFS(Cobros!$F$2:$F$501,Cobros!$B$2:$B$501,$A6,Cobros!$A$2:$A$501,"&gt;="&amp;DATE($B$2,4,1),Cobros!$A$2:$A$501,"&lt;"&amp;DATE($B$2,4+1,1)))</f>
        <v>0</v>
      </c>
      <c r="F6" s="22" t="n">
        <f aca="false">IF($A6="","",SUMIFS(Cobros!$F$2:$F$501,Cobros!$B$2:$B$501,$A6,Cobros!$A$2:$A$501,"&gt;="&amp;DATE($B$2,5,1),Cobros!$A$2:$A$501,"&lt;"&amp;DATE($B$2,5+1,1)))</f>
        <v>0</v>
      </c>
      <c r="G6" s="22" t="n">
        <f aca="false">IF($A6="","",SUMIFS(Cobros!$F$2:$F$501,Cobros!$B$2:$B$501,$A6,Cobros!$A$2:$A$501,"&gt;="&amp;DATE($B$2,6,1),Cobros!$A$2:$A$501,"&lt;"&amp;DATE($B$2,6+1,1)))</f>
        <v>0</v>
      </c>
      <c r="H6" s="22" t="n">
        <f aca="false">IF($A6="","",SUMIFS(Cobros!$F$2:$F$501,Cobros!$B$2:$B$501,$A6,Cobros!$A$2:$A$501,"&gt;="&amp;DATE($B$2,7,1),Cobros!$A$2:$A$501,"&lt;"&amp;DATE($B$2,7+1,1)))</f>
        <v>0</v>
      </c>
      <c r="I6" s="22" t="n">
        <f aca="false">IF($A6="","",SUMIFS(Cobros!$F$2:$F$501,Cobros!$B$2:$B$501,$A6,Cobros!$A$2:$A$501,"&gt;="&amp;DATE($B$2,8,1),Cobros!$A$2:$A$501,"&lt;"&amp;DATE($B$2,8+1,1)))</f>
        <v>0</v>
      </c>
      <c r="J6" s="22" t="n">
        <f aca="false">IF($A6="","",SUMIFS(Cobros!$F$2:$F$501,Cobros!$B$2:$B$501,$A6,Cobros!$A$2:$A$501,"&gt;="&amp;DATE($B$2,9,1),Cobros!$A$2:$A$501,"&lt;"&amp;DATE($B$2,9+1,1)))</f>
        <v>800</v>
      </c>
      <c r="K6" s="22" t="n">
        <f aca="false">IF($A6="","",SUMIFS(Cobros!$F$2:$F$501,Cobros!$B$2:$B$501,$A6,Cobros!$A$2:$A$501,"&gt;="&amp;DATE($B$2,10,1),Cobros!$A$2:$A$501,"&lt;"&amp;DATE($B$2,10+1,1)))</f>
        <v>800</v>
      </c>
      <c r="L6" s="22" t="n">
        <f aca="false">IF($A6="","",SUMIFS(Cobros!$F$2:$F$501,Cobros!$B$2:$B$501,$A6,Cobros!$A$2:$A$501,"&gt;="&amp;DATE($B$2,11,1),Cobros!$A$2:$A$501,"&lt;"&amp;DATE($B$2,11+1,1)))</f>
        <v>0</v>
      </c>
      <c r="M6" s="22" t="n">
        <f aca="false">IF($A6="","",SUMIFS(Cobros!$F$2:$F$501,Cobros!$B$2:$B$501,$A6,Cobros!$A$2:$A$501,"&gt;="&amp;DATE($B$2,12,1),Cobros!$A$2:$A$501,"&lt;"&amp;DATE($B$2,12+1,1)))</f>
        <v>0</v>
      </c>
      <c r="N6" s="31" t="n">
        <f aca="false">IF($A6="","",SUM(B6:M6))</f>
        <v>1600</v>
      </c>
      <c r="O6" s="32" t="n">
        <f aca="false">IF($A6="","",IF($N$35=0,0,N6/$N$35))</f>
        <v>0.290909090909091</v>
      </c>
    </row>
    <row r="7" customFormat="false" ht="15" hidden="false" customHeight="false" outlineLevel="0" collapsed="false">
      <c r="A7" s="30" t="str">
        <f aca="false">IF(Configuración!A18="","",Configuración!A18)</f>
        <v>Cliente C (ejemplo)</v>
      </c>
      <c r="B7" s="22" t="n">
        <f aca="false">IF($A7="","",SUMIFS(Cobros!$F$2:$F$501,Cobros!$B$2:$B$501,$A7,Cobros!$A$2:$A$501,"&gt;="&amp;DATE($B$2,1,1),Cobros!$A$2:$A$501,"&lt;"&amp;DATE($B$2,1+1,1)))</f>
        <v>0</v>
      </c>
      <c r="C7" s="22" t="n">
        <f aca="false">IF($A7="","",SUMIFS(Cobros!$F$2:$F$501,Cobros!$B$2:$B$501,$A7,Cobros!$A$2:$A$501,"&gt;="&amp;DATE($B$2,2,1),Cobros!$A$2:$A$501,"&lt;"&amp;DATE($B$2,2+1,1)))</f>
        <v>0</v>
      </c>
      <c r="D7" s="22" t="n">
        <f aca="false">IF($A7="","",SUMIFS(Cobros!$F$2:$F$501,Cobros!$B$2:$B$501,$A7,Cobros!$A$2:$A$501,"&gt;="&amp;DATE($B$2,3,1),Cobros!$A$2:$A$501,"&lt;"&amp;DATE($B$2,3+1,1)))</f>
        <v>0</v>
      </c>
      <c r="E7" s="22" t="n">
        <f aca="false">IF($A7="","",SUMIFS(Cobros!$F$2:$F$501,Cobros!$B$2:$B$501,$A7,Cobros!$A$2:$A$501,"&gt;="&amp;DATE($B$2,4,1),Cobros!$A$2:$A$501,"&lt;"&amp;DATE($B$2,4+1,1)))</f>
        <v>0</v>
      </c>
      <c r="F7" s="22" t="n">
        <f aca="false">IF($A7="","",SUMIFS(Cobros!$F$2:$F$501,Cobros!$B$2:$B$501,$A7,Cobros!$A$2:$A$501,"&gt;="&amp;DATE($B$2,5,1),Cobros!$A$2:$A$501,"&lt;"&amp;DATE($B$2,5+1,1)))</f>
        <v>0</v>
      </c>
      <c r="G7" s="22" t="n">
        <f aca="false">IF($A7="","",SUMIFS(Cobros!$F$2:$F$501,Cobros!$B$2:$B$501,$A7,Cobros!$A$2:$A$501,"&gt;="&amp;DATE($B$2,6,1),Cobros!$A$2:$A$501,"&lt;"&amp;DATE($B$2,6+1,1)))</f>
        <v>0</v>
      </c>
      <c r="H7" s="22" t="n">
        <f aca="false">IF($A7="","",SUMIFS(Cobros!$F$2:$F$501,Cobros!$B$2:$B$501,$A7,Cobros!$A$2:$A$501,"&gt;="&amp;DATE($B$2,7,1),Cobros!$A$2:$A$501,"&lt;"&amp;DATE($B$2,7+1,1)))</f>
        <v>0</v>
      </c>
      <c r="I7" s="22" t="n">
        <f aca="false">IF($A7="","",SUMIFS(Cobros!$F$2:$F$501,Cobros!$B$2:$B$501,$A7,Cobros!$A$2:$A$501,"&gt;="&amp;DATE($B$2,8,1),Cobros!$A$2:$A$501,"&lt;"&amp;DATE($B$2,8+1,1)))</f>
        <v>0</v>
      </c>
      <c r="J7" s="22" t="n">
        <f aca="false">IF($A7="","",SUMIFS(Cobros!$F$2:$F$501,Cobros!$B$2:$B$501,$A7,Cobros!$A$2:$A$501,"&gt;="&amp;DATE($B$2,9,1),Cobros!$A$2:$A$501,"&lt;"&amp;DATE($B$2,9+1,1)))</f>
        <v>0</v>
      </c>
      <c r="K7" s="22" t="n">
        <f aca="false">IF($A7="","",SUMIFS(Cobros!$F$2:$F$501,Cobros!$B$2:$B$501,$A7,Cobros!$A$2:$A$501,"&gt;="&amp;DATE($B$2,10,1),Cobros!$A$2:$A$501,"&lt;"&amp;DATE($B$2,10+1,1)))</f>
        <v>1500</v>
      </c>
      <c r="L7" s="22" t="n">
        <f aca="false">IF($A7="","",SUMIFS(Cobros!$F$2:$F$501,Cobros!$B$2:$B$501,$A7,Cobros!$A$2:$A$501,"&gt;="&amp;DATE($B$2,11,1),Cobros!$A$2:$A$501,"&lt;"&amp;DATE($B$2,11+1,1)))</f>
        <v>0</v>
      </c>
      <c r="M7" s="22" t="n">
        <f aca="false">IF($A7="","",SUMIFS(Cobros!$F$2:$F$501,Cobros!$B$2:$B$501,$A7,Cobros!$A$2:$A$501,"&gt;="&amp;DATE($B$2,12,1),Cobros!$A$2:$A$501,"&lt;"&amp;DATE($B$2,12+1,1)))</f>
        <v>0</v>
      </c>
      <c r="N7" s="31" t="n">
        <f aca="false">IF($A7="","",SUM(B7:M7))</f>
        <v>1500</v>
      </c>
      <c r="O7" s="32" t="n">
        <f aca="false">IF($A7="","",IF($N$35=0,0,N7/$N$35))</f>
        <v>0.272727272727273</v>
      </c>
    </row>
    <row r="8" customFormat="false" ht="15" hidden="false" customHeight="false" outlineLevel="0" collapsed="false">
      <c r="A8" s="30" t="str">
        <f aca="false">IF(Configuración!A19="","",Configuración!A19)</f>
        <v>Cliente D (ejemplo)</v>
      </c>
      <c r="B8" s="22" t="n">
        <f aca="false">IF($A8="","",SUMIFS(Cobros!$F$2:$F$501,Cobros!$B$2:$B$501,$A8,Cobros!$A$2:$A$501,"&gt;="&amp;DATE($B$2,1,1),Cobros!$A$2:$A$501,"&lt;"&amp;DATE($B$2,1+1,1)))</f>
        <v>0</v>
      </c>
      <c r="C8" s="22" t="n">
        <f aca="false">IF($A8="","",SUMIFS(Cobros!$F$2:$F$501,Cobros!$B$2:$B$501,$A8,Cobros!$A$2:$A$501,"&gt;="&amp;DATE($B$2,2,1),Cobros!$A$2:$A$501,"&lt;"&amp;DATE($B$2,2+1,1)))</f>
        <v>0</v>
      </c>
      <c r="D8" s="22" t="n">
        <f aca="false">IF($A8="","",SUMIFS(Cobros!$F$2:$F$501,Cobros!$B$2:$B$501,$A8,Cobros!$A$2:$A$501,"&gt;="&amp;DATE($B$2,3,1),Cobros!$A$2:$A$501,"&lt;"&amp;DATE($B$2,3+1,1)))</f>
        <v>0</v>
      </c>
      <c r="E8" s="22" t="n">
        <f aca="false">IF($A8="","",SUMIFS(Cobros!$F$2:$F$501,Cobros!$B$2:$B$501,$A8,Cobros!$A$2:$A$501,"&gt;="&amp;DATE($B$2,4,1),Cobros!$A$2:$A$501,"&lt;"&amp;DATE($B$2,4+1,1)))</f>
        <v>0</v>
      </c>
      <c r="F8" s="22" t="n">
        <f aca="false">IF($A8="","",SUMIFS(Cobros!$F$2:$F$501,Cobros!$B$2:$B$501,$A8,Cobros!$A$2:$A$501,"&gt;="&amp;DATE($B$2,5,1),Cobros!$A$2:$A$501,"&lt;"&amp;DATE($B$2,5+1,1)))</f>
        <v>0</v>
      </c>
      <c r="G8" s="22" t="n">
        <f aca="false">IF($A8="","",SUMIFS(Cobros!$F$2:$F$501,Cobros!$B$2:$B$501,$A8,Cobros!$A$2:$A$501,"&gt;="&amp;DATE($B$2,6,1),Cobros!$A$2:$A$501,"&lt;"&amp;DATE($B$2,6+1,1)))</f>
        <v>0</v>
      </c>
      <c r="H8" s="22" t="n">
        <f aca="false">IF($A8="","",SUMIFS(Cobros!$F$2:$F$501,Cobros!$B$2:$B$501,$A8,Cobros!$A$2:$A$501,"&gt;="&amp;DATE($B$2,7,1),Cobros!$A$2:$A$501,"&lt;"&amp;DATE($B$2,7+1,1)))</f>
        <v>0</v>
      </c>
      <c r="I8" s="22" t="n">
        <f aca="false">IF($A8="","",SUMIFS(Cobros!$F$2:$F$501,Cobros!$B$2:$B$501,$A8,Cobros!$A$2:$A$501,"&gt;="&amp;DATE($B$2,8,1),Cobros!$A$2:$A$501,"&lt;"&amp;DATE($B$2,8+1,1)))</f>
        <v>0</v>
      </c>
      <c r="J8" s="22" t="n">
        <f aca="false">IF($A8="","",SUMIFS(Cobros!$F$2:$F$501,Cobros!$B$2:$B$501,$A8,Cobros!$A$2:$A$501,"&gt;="&amp;DATE($B$2,9,1),Cobros!$A$2:$A$501,"&lt;"&amp;DATE($B$2,9+1,1)))</f>
        <v>0</v>
      </c>
      <c r="K8" s="22" t="n">
        <f aca="false">IF($A8="","",SUMIFS(Cobros!$F$2:$F$501,Cobros!$B$2:$B$501,$A8,Cobros!$A$2:$A$501,"&gt;="&amp;DATE($B$2,10,1),Cobros!$A$2:$A$501,"&lt;"&amp;DATE($B$2,10+1,1)))</f>
        <v>0</v>
      </c>
      <c r="L8" s="22" t="n">
        <f aca="false">IF($A8="","",SUMIFS(Cobros!$F$2:$F$501,Cobros!$B$2:$B$501,$A8,Cobros!$A$2:$A$501,"&gt;="&amp;DATE($B$2,11,1),Cobros!$A$2:$A$501,"&lt;"&amp;DATE($B$2,11+1,1)))</f>
        <v>0</v>
      </c>
      <c r="M8" s="22" t="n">
        <f aca="false">IF($A8="","",SUMIFS(Cobros!$F$2:$F$501,Cobros!$B$2:$B$501,$A8,Cobros!$A$2:$A$501,"&gt;="&amp;DATE($B$2,12,1),Cobros!$A$2:$A$501,"&lt;"&amp;DATE($B$2,12+1,1)))</f>
        <v>0</v>
      </c>
      <c r="N8" s="31" t="n">
        <f aca="false">IF($A8="","",SUM(B8:M8))</f>
        <v>0</v>
      </c>
      <c r="O8" s="32" t="n">
        <f aca="false">IF($A8="","",IF($N$35=0,0,N8/$N$35))</f>
        <v>0</v>
      </c>
    </row>
    <row r="9" customFormat="false" ht="15" hidden="false" customHeight="false" outlineLevel="0" collapsed="false">
      <c r="A9" s="30" t="str">
        <f aca="false">IF(Configuración!A20="","",Configuración!A20)</f>
        <v/>
      </c>
      <c r="B9" s="22" t="str">
        <f aca="false">IF($A9="","",SUMIFS(Cobros!$F$2:$F$501,Cobros!$B$2:$B$501,$A9,Cobros!$A$2:$A$501,"&gt;="&amp;DATE($B$2,1,1),Cobros!$A$2:$A$501,"&lt;"&amp;DATE($B$2,1+1,1)))</f>
        <v/>
      </c>
      <c r="C9" s="22" t="str">
        <f aca="false">IF($A9="","",SUMIFS(Cobros!$F$2:$F$501,Cobros!$B$2:$B$501,$A9,Cobros!$A$2:$A$501,"&gt;="&amp;DATE($B$2,2,1),Cobros!$A$2:$A$501,"&lt;"&amp;DATE($B$2,2+1,1)))</f>
        <v/>
      </c>
      <c r="D9" s="22" t="str">
        <f aca="false">IF($A9="","",SUMIFS(Cobros!$F$2:$F$501,Cobros!$B$2:$B$501,$A9,Cobros!$A$2:$A$501,"&gt;="&amp;DATE($B$2,3,1),Cobros!$A$2:$A$501,"&lt;"&amp;DATE($B$2,3+1,1)))</f>
        <v/>
      </c>
      <c r="E9" s="22" t="str">
        <f aca="false">IF($A9="","",SUMIFS(Cobros!$F$2:$F$501,Cobros!$B$2:$B$501,$A9,Cobros!$A$2:$A$501,"&gt;="&amp;DATE($B$2,4,1),Cobros!$A$2:$A$501,"&lt;"&amp;DATE($B$2,4+1,1)))</f>
        <v/>
      </c>
      <c r="F9" s="22" t="str">
        <f aca="false">IF($A9="","",SUMIFS(Cobros!$F$2:$F$501,Cobros!$B$2:$B$501,$A9,Cobros!$A$2:$A$501,"&gt;="&amp;DATE($B$2,5,1),Cobros!$A$2:$A$501,"&lt;"&amp;DATE($B$2,5+1,1)))</f>
        <v/>
      </c>
      <c r="G9" s="22" t="str">
        <f aca="false">IF($A9="","",SUMIFS(Cobros!$F$2:$F$501,Cobros!$B$2:$B$501,$A9,Cobros!$A$2:$A$501,"&gt;="&amp;DATE($B$2,6,1),Cobros!$A$2:$A$501,"&lt;"&amp;DATE($B$2,6+1,1)))</f>
        <v/>
      </c>
      <c r="H9" s="22" t="str">
        <f aca="false">IF($A9="","",SUMIFS(Cobros!$F$2:$F$501,Cobros!$B$2:$B$501,$A9,Cobros!$A$2:$A$501,"&gt;="&amp;DATE($B$2,7,1),Cobros!$A$2:$A$501,"&lt;"&amp;DATE($B$2,7+1,1)))</f>
        <v/>
      </c>
      <c r="I9" s="22" t="str">
        <f aca="false">IF($A9="","",SUMIFS(Cobros!$F$2:$F$501,Cobros!$B$2:$B$501,$A9,Cobros!$A$2:$A$501,"&gt;="&amp;DATE($B$2,8,1),Cobros!$A$2:$A$501,"&lt;"&amp;DATE($B$2,8+1,1)))</f>
        <v/>
      </c>
      <c r="J9" s="22" t="str">
        <f aca="false">IF($A9="","",SUMIFS(Cobros!$F$2:$F$501,Cobros!$B$2:$B$501,$A9,Cobros!$A$2:$A$501,"&gt;="&amp;DATE($B$2,9,1),Cobros!$A$2:$A$501,"&lt;"&amp;DATE($B$2,9+1,1)))</f>
        <v/>
      </c>
      <c r="K9" s="22" t="str">
        <f aca="false">IF($A9="","",SUMIFS(Cobros!$F$2:$F$501,Cobros!$B$2:$B$501,$A9,Cobros!$A$2:$A$501,"&gt;="&amp;DATE($B$2,10,1),Cobros!$A$2:$A$501,"&lt;"&amp;DATE($B$2,10+1,1)))</f>
        <v/>
      </c>
      <c r="L9" s="22" t="str">
        <f aca="false">IF($A9="","",SUMIFS(Cobros!$F$2:$F$501,Cobros!$B$2:$B$501,$A9,Cobros!$A$2:$A$501,"&gt;="&amp;DATE($B$2,11,1),Cobros!$A$2:$A$501,"&lt;"&amp;DATE($B$2,11+1,1)))</f>
        <v/>
      </c>
      <c r="M9" s="22" t="str">
        <f aca="false">IF($A9="","",SUMIFS(Cobros!$F$2:$F$501,Cobros!$B$2:$B$501,$A9,Cobros!$A$2:$A$501,"&gt;="&amp;DATE($B$2,12,1),Cobros!$A$2:$A$501,"&lt;"&amp;DATE($B$2,12+1,1)))</f>
        <v/>
      </c>
      <c r="N9" s="31" t="str">
        <f aca="false">IF($A9="","",SUM(B9:M9))</f>
        <v/>
      </c>
      <c r="O9" s="32" t="str">
        <f aca="false">IF($A9="","",IF($N$35=0,0,N9/$N$35))</f>
        <v/>
      </c>
    </row>
    <row r="10" customFormat="false" ht="15" hidden="false" customHeight="false" outlineLevel="0" collapsed="false">
      <c r="A10" s="30" t="str">
        <f aca="false">IF(Configuración!A21="","",Configuración!A21)</f>
        <v/>
      </c>
      <c r="B10" s="22" t="str">
        <f aca="false">IF($A10="","",SUMIFS(Cobros!$F$2:$F$501,Cobros!$B$2:$B$501,$A10,Cobros!$A$2:$A$501,"&gt;="&amp;DATE($B$2,1,1),Cobros!$A$2:$A$501,"&lt;"&amp;DATE($B$2,1+1,1)))</f>
        <v/>
      </c>
      <c r="C10" s="22" t="str">
        <f aca="false">IF($A10="","",SUMIFS(Cobros!$F$2:$F$501,Cobros!$B$2:$B$501,$A10,Cobros!$A$2:$A$501,"&gt;="&amp;DATE($B$2,2,1),Cobros!$A$2:$A$501,"&lt;"&amp;DATE($B$2,2+1,1)))</f>
        <v/>
      </c>
      <c r="D10" s="22" t="str">
        <f aca="false">IF($A10="","",SUMIFS(Cobros!$F$2:$F$501,Cobros!$B$2:$B$501,$A10,Cobros!$A$2:$A$501,"&gt;="&amp;DATE($B$2,3,1),Cobros!$A$2:$A$501,"&lt;"&amp;DATE($B$2,3+1,1)))</f>
        <v/>
      </c>
      <c r="E10" s="22" t="str">
        <f aca="false">IF($A10="","",SUMIFS(Cobros!$F$2:$F$501,Cobros!$B$2:$B$501,$A10,Cobros!$A$2:$A$501,"&gt;="&amp;DATE($B$2,4,1),Cobros!$A$2:$A$501,"&lt;"&amp;DATE($B$2,4+1,1)))</f>
        <v/>
      </c>
      <c r="F10" s="22" t="str">
        <f aca="false">IF($A10="","",SUMIFS(Cobros!$F$2:$F$501,Cobros!$B$2:$B$501,$A10,Cobros!$A$2:$A$501,"&gt;="&amp;DATE($B$2,5,1),Cobros!$A$2:$A$501,"&lt;"&amp;DATE($B$2,5+1,1)))</f>
        <v/>
      </c>
      <c r="G10" s="22" t="str">
        <f aca="false">IF($A10="","",SUMIFS(Cobros!$F$2:$F$501,Cobros!$B$2:$B$501,$A10,Cobros!$A$2:$A$501,"&gt;="&amp;DATE($B$2,6,1),Cobros!$A$2:$A$501,"&lt;"&amp;DATE($B$2,6+1,1)))</f>
        <v/>
      </c>
      <c r="H10" s="22" t="str">
        <f aca="false">IF($A10="","",SUMIFS(Cobros!$F$2:$F$501,Cobros!$B$2:$B$501,$A10,Cobros!$A$2:$A$501,"&gt;="&amp;DATE($B$2,7,1),Cobros!$A$2:$A$501,"&lt;"&amp;DATE($B$2,7+1,1)))</f>
        <v/>
      </c>
      <c r="I10" s="22" t="str">
        <f aca="false">IF($A10="","",SUMIFS(Cobros!$F$2:$F$501,Cobros!$B$2:$B$501,$A10,Cobros!$A$2:$A$501,"&gt;="&amp;DATE($B$2,8,1),Cobros!$A$2:$A$501,"&lt;"&amp;DATE($B$2,8+1,1)))</f>
        <v/>
      </c>
      <c r="J10" s="22" t="str">
        <f aca="false">IF($A10="","",SUMIFS(Cobros!$F$2:$F$501,Cobros!$B$2:$B$501,$A10,Cobros!$A$2:$A$501,"&gt;="&amp;DATE($B$2,9,1),Cobros!$A$2:$A$501,"&lt;"&amp;DATE($B$2,9+1,1)))</f>
        <v/>
      </c>
      <c r="K10" s="22" t="str">
        <f aca="false">IF($A10="","",SUMIFS(Cobros!$F$2:$F$501,Cobros!$B$2:$B$501,$A10,Cobros!$A$2:$A$501,"&gt;="&amp;DATE($B$2,10,1),Cobros!$A$2:$A$501,"&lt;"&amp;DATE($B$2,10+1,1)))</f>
        <v/>
      </c>
      <c r="L10" s="22" t="str">
        <f aca="false">IF($A10="","",SUMIFS(Cobros!$F$2:$F$501,Cobros!$B$2:$B$501,$A10,Cobros!$A$2:$A$501,"&gt;="&amp;DATE($B$2,11,1),Cobros!$A$2:$A$501,"&lt;"&amp;DATE($B$2,11+1,1)))</f>
        <v/>
      </c>
      <c r="M10" s="22" t="str">
        <f aca="false">IF($A10="","",SUMIFS(Cobros!$F$2:$F$501,Cobros!$B$2:$B$501,$A10,Cobros!$A$2:$A$501,"&gt;="&amp;DATE($B$2,12,1),Cobros!$A$2:$A$501,"&lt;"&amp;DATE($B$2,12+1,1)))</f>
        <v/>
      </c>
      <c r="N10" s="31" t="str">
        <f aca="false">IF($A10="","",SUM(B10:M10))</f>
        <v/>
      </c>
      <c r="O10" s="32" t="str">
        <f aca="false">IF($A10="","",IF($N$35=0,0,N10/$N$35))</f>
        <v/>
      </c>
    </row>
    <row r="11" customFormat="false" ht="15" hidden="false" customHeight="false" outlineLevel="0" collapsed="false">
      <c r="A11" s="30" t="str">
        <f aca="false">IF(Configuración!A22="","",Configuración!A22)</f>
        <v/>
      </c>
      <c r="B11" s="22" t="str">
        <f aca="false">IF($A11="","",SUMIFS(Cobros!$F$2:$F$501,Cobros!$B$2:$B$501,$A11,Cobros!$A$2:$A$501,"&gt;="&amp;DATE($B$2,1,1),Cobros!$A$2:$A$501,"&lt;"&amp;DATE($B$2,1+1,1)))</f>
        <v/>
      </c>
      <c r="C11" s="22" t="str">
        <f aca="false">IF($A11="","",SUMIFS(Cobros!$F$2:$F$501,Cobros!$B$2:$B$501,$A11,Cobros!$A$2:$A$501,"&gt;="&amp;DATE($B$2,2,1),Cobros!$A$2:$A$501,"&lt;"&amp;DATE($B$2,2+1,1)))</f>
        <v/>
      </c>
      <c r="D11" s="22" t="str">
        <f aca="false">IF($A11="","",SUMIFS(Cobros!$F$2:$F$501,Cobros!$B$2:$B$501,$A11,Cobros!$A$2:$A$501,"&gt;="&amp;DATE($B$2,3,1),Cobros!$A$2:$A$501,"&lt;"&amp;DATE($B$2,3+1,1)))</f>
        <v/>
      </c>
      <c r="E11" s="22" t="str">
        <f aca="false">IF($A11="","",SUMIFS(Cobros!$F$2:$F$501,Cobros!$B$2:$B$501,$A11,Cobros!$A$2:$A$501,"&gt;="&amp;DATE($B$2,4,1),Cobros!$A$2:$A$501,"&lt;"&amp;DATE($B$2,4+1,1)))</f>
        <v/>
      </c>
      <c r="F11" s="22" t="str">
        <f aca="false">IF($A11="","",SUMIFS(Cobros!$F$2:$F$501,Cobros!$B$2:$B$501,$A11,Cobros!$A$2:$A$501,"&gt;="&amp;DATE($B$2,5,1),Cobros!$A$2:$A$501,"&lt;"&amp;DATE($B$2,5+1,1)))</f>
        <v/>
      </c>
      <c r="G11" s="22" t="str">
        <f aca="false">IF($A11="","",SUMIFS(Cobros!$F$2:$F$501,Cobros!$B$2:$B$501,$A11,Cobros!$A$2:$A$501,"&gt;="&amp;DATE($B$2,6,1),Cobros!$A$2:$A$501,"&lt;"&amp;DATE($B$2,6+1,1)))</f>
        <v/>
      </c>
      <c r="H11" s="22" t="str">
        <f aca="false">IF($A11="","",SUMIFS(Cobros!$F$2:$F$501,Cobros!$B$2:$B$501,$A11,Cobros!$A$2:$A$501,"&gt;="&amp;DATE($B$2,7,1),Cobros!$A$2:$A$501,"&lt;"&amp;DATE($B$2,7+1,1)))</f>
        <v/>
      </c>
      <c r="I11" s="22" t="str">
        <f aca="false">IF($A11="","",SUMIFS(Cobros!$F$2:$F$501,Cobros!$B$2:$B$501,$A11,Cobros!$A$2:$A$501,"&gt;="&amp;DATE($B$2,8,1),Cobros!$A$2:$A$501,"&lt;"&amp;DATE($B$2,8+1,1)))</f>
        <v/>
      </c>
      <c r="J11" s="22" t="str">
        <f aca="false">IF($A11="","",SUMIFS(Cobros!$F$2:$F$501,Cobros!$B$2:$B$501,$A11,Cobros!$A$2:$A$501,"&gt;="&amp;DATE($B$2,9,1),Cobros!$A$2:$A$501,"&lt;"&amp;DATE($B$2,9+1,1)))</f>
        <v/>
      </c>
      <c r="K11" s="22" t="str">
        <f aca="false">IF($A11="","",SUMIFS(Cobros!$F$2:$F$501,Cobros!$B$2:$B$501,$A11,Cobros!$A$2:$A$501,"&gt;="&amp;DATE($B$2,10,1),Cobros!$A$2:$A$501,"&lt;"&amp;DATE($B$2,10+1,1)))</f>
        <v/>
      </c>
      <c r="L11" s="22" t="str">
        <f aca="false">IF($A11="","",SUMIFS(Cobros!$F$2:$F$501,Cobros!$B$2:$B$501,$A11,Cobros!$A$2:$A$501,"&gt;="&amp;DATE($B$2,11,1),Cobros!$A$2:$A$501,"&lt;"&amp;DATE($B$2,11+1,1)))</f>
        <v/>
      </c>
      <c r="M11" s="22" t="str">
        <f aca="false">IF($A11="","",SUMIFS(Cobros!$F$2:$F$501,Cobros!$B$2:$B$501,$A11,Cobros!$A$2:$A$501,"&gt;="&amp;DATE($B$2,12,1),Cobros!$A$2:$A$501,"&lt;"&amp;DATE($B$2,12+1,1)))</f>
        <v/>
      </c>
      <c r="N11" s="31" t="str">
        <f aca="false">IF($A11="","",SUM(B11:M11))</f>
        <v/>
      </c>
      <c r="O11" s="32" t="str">
        <f aca="false">IF($A11="","",IF($N$35=0,0,N11/$N$35))</f>
        <v/>
      </c>
    </row>
    <row r="12" customFormat="false" ht="15" hidden="false" customHeight="false" outlineLevel="0" collapsed="false">
      <c r="A12" s="30" t="str">
        <f aca="false">IF(Configuración!A23="","",Configuración!A23)</f>
        <v/>
      </c>
      <c r="B12" s="22" t="str">
        <f aca="false">IF($A12="","",SUMIFS(Cobros!$F$2:$F$501,Cobros!$B$2:$B$501,$A12,Cobros!$A$2:$A$501,"&gt;="&amp;DATE($B$2,1,1),Cobros!$A$2:$A$501,"&lt;"&amp;DATE($B$2,1+1,1)))</f>
        <v/>
      </c>
      <c r="C12" s="22" t="str">
        <f aca="false">IF($A12="","",SUMIFS(Cobros!$F$2:$F$501,Cobros!$B$2:$B$501,$A12,Cobros!$A$2:$A$501,"&gt;="&amp;DATE($B$2,2,1),Cobros!$A$2:$A$501,"&lt;"&amp;DATE($B$2,2+1,1)))</f>
        <v/>
      </c>
      <c r="D12" s="22" t="str">
        <f aca="false">IF($A12="","",SUMIFS(Cobros!$F$2:$F$501,Cobros!$B$2:$B$501,$A12,Cobros!$A$2:$A$501,"&gt;="&amp;DATE($B$2,3,1),Cobros!$A$2:$A$501,"&lt;"&amp;DATE($B$2,3+1,1)))</f>
        <v/>
      </c>
      <c r="E12" s="22" t="str">
        <f aca="false">IF($A12="","",SUMIFS(Cobros!$F$2:$F$501,Cobros!$B$2:$B$501,$A12,Cobros!$A$2:$A$501,"&gt;="&amp;DATE($B$2,4,1),Cobros!$A$2:$A$501,"&lt;"&amp;DATE($B$2,4+1,1)))</f>
        <v/>
      </c>
      <c r="F12" s="22" t="str">
        <f aca="false">IF($A12="","",SUMIFS(Cobros!$F$2:$F$501,Cobros!$B$2:$B$501,$A12,Cobros!$A$2:$A$501,"&gt;="&amp;DATE($B$2,5,1),Cobros!$A$2:$A$501,"&lt;"&amp;DATE($B$2,5+1,1)))</f>
        <v/>
      </c>
      <c r="G12" s="22" t="str">
        <f aca="false">IF($A12="","",SUMIFS(Cobros!$F$2:$F$501,Cobros!$B$2:$B$501,$A12,Cobros!$A$2:$A$501,"&gt;="&amp;DATE($B$2,6,1),Cobros!$A$2:$A$501,"&lt;"&amp;DATE($B$2,6+1,1)))</f>
        <v/>
      </c>
      <c r="H12" s="22" t="str">
        <f aca="false">IF($A12="","",SUMIFS(Cobros!$F$2:$F$501,Cobros!$B$2:$B$501,$A12,Cobros!$A$2:$A$501,"&gt;="&amp;DATE($B$2,7,1),Cobros!$A$2:$A$501,"&lt;"&amp;DATE($B$2,7+1,1)))</f>
        <v/>
      </c>
      <c r="I12" s="22" t="str">
        <f aca="false">IF($A12="","",SUMIFS(Cobros!$F$2:$F$501,Cobros!$B$2:$B$501,$A12,Cobros!$A$2:$A$501,"&gt;="&amp;DATE($B$2,8,1),Cobros!$A$2:$A$501,"&lt;"&amp;DATE($B$2,8+1,1)))</f>
        <v/>
      </c>
      <c r="J12" s="22" t="str">
        <f aca="false">IF($A12="","",SUMIFS(Cobros!$F$2:$F$501,Cobros!$B$2:$B$501,$A12,Cobros!$A$2:$A$501,"&gt;="&amp;DATE($B$2,9,1),Cobros!$A$2:$A$501,"&lt;"&amp;DATE($B$2,9+1,1)))</f>
        <v/>
      </c>
      <c r="K12" s="22" t="str">
        <f aca="false">IF($A12="","",SUMIFS(Cobros!$F$2:$F$501,Cobros!$B$2:$B$501,$A12,Cobros!$A$2:$A$501,"&gt;="&amp;DATE($B$2,10,1),Cobros!$A$2:$A$501,"&lt;"&amp;DATE($B$2,10+1,1)))</f>
        <v/>
      </c>
      <c r="L12" s="22" t="str">
        <f aca="false">IF($A12="","",SUMIFS(Cobros!$F$2:$F$501,Cobros!$B$2:$B$501,$A12,Cobros!$A$2:$A$501,"&gt;="&amp;DATE($B$2,11,1),Cobros!$A$2:$A$501,"&lt;"&amp;DATE($B$2,11+1,1)))</f>
        <v/>
      </c>
      <c r="M12" s="22" t="str">
        <f aca="false">IF($A12="","",SUMIFS(Cobros!$F$2:$F$501,Cobros!$B$2:$B$501,$A12,Cobros!$A$2:$A$501,"&gt;="&amp;DATE($B$2,12,1),Cobros!$A$2:$A$501,"&lt;"&amp;DATE($B$2,12+1,1)))</f>
        <v/>
      </c>
      <c r="N12" s="31" t="str">
        <f aca="false">IF($A12="","",SUM(B12:M12))</f>
        <v/>
      </c>
      <c r="O12" s="32" t="str">
        <f aca="false">IF($A12="","",IF($N$35=0,0,N12/$N$35))</f>
        <v/>
      </c>
    </row>
    <row r="13" customFormat="false" ht="15" hidden="false" customHeight="false" outlineLevel="0" collapsed="false">
      <c r="A13" s="30" t="str">
        <f aca="false">IF(Configuración!A24="","",Configuración!A24)</f>
        <v/>
      </c>
      <c r="B13" s="22" t="str">
        <f aca="false">IF($A13="","",SUMIFS(Cobros!$F$2:$F$501,Cobros!$B$2:$B$501,$A13,Cobros!$A$2:$A$501,"&gt;="&amp;DATE($B$2,1,1),Cobros!$A$2:$A$501,"&lt;"&amp;DATE($B$2,1+1,1)))</f>
        <v/>
      </c>
      <c r="C13" s="22" t="str">
        <f aca="false">IF($A13="","",SUMIFS(Cobros!$F$2:$F$501,Cobros!$B$2:$B$501,$A13,Cobros!$A$2:$A$501,"&gt;="&amp;DATE($B$2,2,1),Cobros!$A$2:$A$501,"&lt;"&amp;DATE($B$2,2+1,1)))</f>
        <v/>
      </c>
      <c r="D13" s="22" t="str">
        <f aca="false">IF($A13="","",SUMIFS(Cobros!$F$2:$F$501,Cobros!$B$2:$B$501,$A13,Cobros!$A$2:$A$501,"&gt;="&amp;DATE($B$2,3,1),Cobros!$A$2:$A$501,"&lt;"&amp;DATE($B$2,3+1,1)))</f>
        <v/>
      </c>
      <c r="E13" s="22" t="str">
        <f aca="false">IF($A13="","",SUMIFS(Cobros!$F$2:$F$501,Cobros!$B$2:$B$501,$A13,Cobros!$A$2:$A$501,"&gt;="&amp;DATE($B$2,4,1),Cobros!$A$2:$A$501,"&lt;"&amp;DATE($B$2,4+1,1)))</f>
        <v/>
      </c>
      <c r="F13" s="22" t="str">
        <f aca="false">IF($A13="","",SUMIFS(Cobros!$F$2:$F$501,Cobros!$B$2:$B$501,$A13,Cobros!$A$2:$A$501,"&gt;="&amp;DATE($B$2,5,1),Cobros!$A$2:$A$501,"&lt;"&amp;DATE($B$2,5+1,1)))</f>
        <v/>
      </c>
      <c r="G13" s="22" t="str">
        <f aca="false">IF($A13="","",SUMIFS(Cobros!$F$2:$F$501,Cobros!$B$2:$B$501,$A13,Cobros!$A$2:$A$501,"&gt;="&amp;DATE($B$2,6,1),Cobros!$A$2:$A$501,"&lt;"&amp;DATE($B$2,6+1,1)))</f>
        <v/>
      </c>
      <c r="H13" s="22" t="str">
        <f aca="false">IF($A13="","",SUMIFS(Cobros!$F$2:$F$501,Cobros!$B$2:$B$501,$A13,Cobros!$A$2:$A$501,"&gt;="&amp;DATE($B$2,7,1),Cobros!$A$2:$A$501,"&lt;"&amp;DATE($B$2,7+1,1)))</f>
        <v/>
      </c>
      <c r="I13" s="22" t="str">
        <f aca="false">IF($A13="","",SUMIFS(Cobros!$F$2:$F$501,Cobros!$B$2:$B$501,$A13,Cobros!$A$2:$A$501,"&gt;="&amp;DATE($B$2,8,1),Cobros!$A$2:$A$501,"&lt;"&amp;DATE($B$2,8+1,1)))</f>
        <v/>
      </c>
      <c r="J13" s="22" t="str">
        <f aca="false">IF($A13="","",SUMIFS(Cobros!$F$2:$F$501,Cobros!$B$2:$B$501,$A13,Cobros!$A$2:$A$501,"&gt;="&amp;DATE($B$2,9,1),Cobros!$A$2:$A$501,"&lt;"&amp;DATE($B$2,9+1,1)))</f>
        <v/>
      </c>
      <c r="K13" s="22" t="str">
        <f aca="false">IF($A13="","",SUMIFS(Cobros!$F$2:$F$501,Cobros!$B$2:$B$501,$A13,Cobros!$A$2:$A$501,"&gt;="&amp;DATE($B$2,10,1),Cobros!$A$2:$A$501,"&lt;"&amp;DATE($B$2,10+1,1)))</f>
        <v/>
      </c>
      <c r="L13" s="22" t="str">
        <f aca="false">IF($A13="","",SUMIFS(Cobros!$F$2:$F$501,Cobros!$B$2:$B$501,$A13,Cobros!$A$2:$A$501,"&gt;="&amp;DATE($B$2,11,1),Cobros!$A$2:$A$501,"&lt;"&amp;DATE($B$2,11+1,1)))</f>
        <v/>
      </c>
      <c r="M13" s="22" t="str">
        <f aca="false">IF($A13="","",SUMIFS(Cobros!$F$2:$F$501,Cobros!$B$2:$B$501,$A13,Cobros!$A$2:$A$501,"&gt;="&amp;DATE($B$2,12,1),Cobros!$A$2:$A$501,"&lt;"&amp;DATE($B$2,12+1,1)))</f>
        <v/>
      </c>
      <c r="N13" s="31" t="str">
        <f aca="false">IF($A13="","",SUM(B13:M13))</f>
        <v/>
      </c>
      <c r="O13" s="32" t="str">
        <f aca="false">IF($A13="","",IF($N$35=0,0,N13/$N$35))</f>
        <v/>
      </c>
    </row>
    <row r="14" customFormat="false" ht="15" hidden="false" customHeight="false" outlineLevel="0" collapsed="false">
      <c r="A14" s="30" t="str">
        <f aca="false">IF(Configuración!A25="","",Configuración!A25)</f>
        <v/>
      </c>
      <c r="B14" s="22" t="str">
        <f aca="false">IF($A14="","",SUMIFS(Cobros!$F$2:$F$501,Cobros!$B$2:$B$501,$A14,Cobros!$A$2:$A$501,"&gt;="&amp;DATE($B$2,1,1),Cobros!$A$2:$A$501,"&lt;"&amp;DATE($B$2,1+1,1)))</f>
        <v/>
      </c>
      <c r="C14" s="22" t="str">
        <f aca="false">IF($A14="","",SUMIFS(Cobros!$F$2:$F$501,Cobros!$B$2:$B$501,$A14,Cobros!$A$2:$A$501,"&gt;="&amp;DATE($B$2,2,1),Cobros!$A$2:$A$501,"&lt;"&amp;DATE($B$2,2+1,1)))</f>
        <v/>
      </c>
      <c r="D14" s="22" t="str">
        <f aca="false">IF($A14="","",SUMIFS(Cobros!$F$2:$F$501,Cobros!$B$2:$B$501,$A14,Cobros!$A$2:$A$501,"&gt;="&amp;DATE($B$2,3,1),Cobros!$A$2:$A$501,"&lt;"&amp;DATE($B$2,3+1,1)))</f>
        <v/>
      </c>
      <c r="E14" s="22" t="str">
        <f aca="false">IF($A14="","",SUMIFS(Cobros!$F$2:$F$501,Cobros!$B$2:$B$501,$A14,Cobros!$A$2:$A$501,"&gt;="&amp;DATE($B$2,4,1),Cobros!$A$2:$A$501,"&lt;"&amp;DATE($B$2,4+1,1)))</f>
        <v/>
      </c>
      <c r="F14" s="22" t="str">
        <f aca="false">IF($A14="","",SUMIFS(Cobros!$F$2:$F$501,Cobros!$B$2:$B$501,$A14,Cobros!$A$2:$A$501,"&gt;="&amp;DATE($B$2,5,1),Cobros!$A$2:$A$501,"&lt;"&amp;DATE($B$2,5+1,1)))</f>
        <v/>
      </c>
      <c r="G14" s="22" t="str">
        <f aca="false">IF($A14="","",SUMIFS(Cobros!$F$2:$F$501,Cobros!$B$2:$B$501,$A14,Cobros!$A$2:$A$501,"&gt;="&amp;DATE($B$2,6,1),Cobros!$A$2:$A$501,"&lt;"&amp;DATE($B$2,6+1,1)))</f>
        <v/>
      </c>
      <c r="H14" s="22" t="str">
        <f aca="false">IF($A14="","",SUMIFS(Cobros!$F$2:$F$501,Cobros!$B$2:$B$501,$A14,Cobros!$A$2:$A$501,"&gt;="&amp;DATE($B$2,7,1),Cobros!$A$2:$A$501,"&lt;"&amp;DATE($B$2,7+1,1)))</f>
        <v/>
      </c>
      <c r="I14" s="22" t="str">
        <f aca="false">IF($A14="","",SUMIFS(Cobros!$F$2:$F$501,Cobros!$B$2:$B$501,$A14,Cobros!$A$2:$A$501,"&gt;="&amp;DATE($B$2,8,1),Cobros!$A$2:$A$501,"&lt;"&amp;DATE($B$2,8+1,1)))</f>
        <v/>
      </c>
      <c r="J14" s="22" t="str">
        <f aca="false">IF($A14="","",SUMIFS(Cobros!$F$2:$F$501,Cobros!$B$2:$B$501,$A14,Cobros!$A$2:$A$501,"&gt;="&amp;DATE($B$2,9,1),Cobros!$A$2:$A$501,"&lt;"&amp;DATE($B$2,9+1,1)))</f>
        <v/>
      </c>
      <c r="K14" s="22" t="str">
        <f aca="false">IF($A14="","",SUMIFS(Cobros!$F$2:$F$501,Cobros!$B$2:$B$501,$A14,Cobros!$A$2:$A$501,"&gt;="&amp;DATE($B$2,10,1),Cobros!$A$2:$A$501,"&lt;"&amp;DATE($B$2,10+1,1)))</f>
        <v/>
      </c>
      <c r="L14" s="22" t="str">
        <f aca="false">IF($A14="","",SUMIFS(Cobros!$F$2:$F$501,Cobros!$B$2:$B$501,$A14,Cobros!$A$2:$A$501,"&gt;="&amp;DATE($B$2,11,1),Cobros!$A$2:$A$501,"&lt;"&amp;DATE($B$2,11+1,1)))</f>
        <v/>
      </c>
      <c r="M14" s="22" t="str">
        <f aca="false">IF($A14="","",SUMIFS(Cobros!$F$2:$F$501,Cobros!$B$2:$B$501,$A14,Cobros!$A$2:$A$501,"&gt;="&amp;DATE($B$2,12,1),Cobros!$A$2:$A$501,"&lt;"&amp;DATE($B$2,12+1,1)))</f>
        <v/>
      </c>
      <c r="N14" s="31" t="str">
        <f aca="false">IF($A14="","",SUM(B14:M14))</f>
        <v/>
      </c>
      <c r="O14" s="32" t="str">
        <f aca="false">IF($A14="","",IF($N$35=0,0,N14/$N$35))</f>
        <v/>
      </c>
    </row>
    <row r="15" customFormat="false" ht="15" hidden="false" customHeight="false" outlineLevel="0" collapsed="false">
      <c r="A15" s="30" t="str">
        <f aca="false">IF(Configuración!A26="","",Configuración!A26)</f>
        <v/>
      </c>
      <c r="B15" s="22" t="str">
        <f aca="false">IF($A15="","",SUMIFS(Cobros!$F$2:$F$501,Cobros!$B$2:$B$501,$A15,Cobros!$A$2:$A$501,"&gt;="&amp;DATE($B$2,1,1),Cobros!$A$2:$A$501,"&lt;"&amp;DATE($B$2,1+1,1)))</f>
        <v/>
      </c>
      <c r="C15" s="22" t="str">
        <f aca="false">IF($A15="","",SUMIFS(Cobros!$F$2:$F$501,Cobros!$B$2:$B$501,$A15,Cobros!$A$2:$A$501,"&gt;="&amp;DATE($B$2,2,1),Cobros!$A$2:$A$501,"&lt;"&amp;DATE($B$2,2+1,1)))</f>
        <v/>
      </c>
      <c r="D15" s="22" t="str">
        <f aca="false">IF($A15="","",SUMIFS(Cobros!$F$2:$F$501,Cobros!$B$2:$B$501,$A15,Cobros!$A$2:$A$501,"&gt;="&amp;DATE($B$2,3,1),Cobros!$A$2:$A$501,"&lt;"&amp;DATE($B$2,3+1,1)))</f>
        <v/>
      </c>
      <c r="E15" s="22" t="str">
        <f aca="false">IF($A15="","",SUMIFS(Cobros!$F$2:$F$501,Cobros!$B$2:$B$501,$A15,Cobros!$A$2:$A$501,"&gt;="&amp;DATE($B$2,4,1),Cobros!$A$2:$A$501,"&lt;"&amp;DATE($B$2,4+1,1)))</f>
        <v/>
      </c>
      <c r="F15" s="22" t="str">
        <f aca="false">IF($A15="","",SUMIFS(Cobros!$F$2:$F$501,Cobros!$B$2:$B$501,$A15,Cobros!$A$2:$A$501,"&gt;="&amp;DATE($B$2,5,1),Cobros!$A$2:$A$501,"&lt;"&amp;DATE($B$2,5+1,1)))</f>
        <v/>
      </c>
      <c r="G15" s="22" t="str">
        <f aca="false">IF($A15="","",SUMIFS(Cobros!$F$2:$F$501,Cobros!$B$2:$B$501,$A15,Cobros!$A$2:$A$501,"&gt;="&amp;DATE($B$2,6,1),Cobros!$A$2:$A$501,"&lt;"&amp;DATE($B$2,6+1,1)))</f>
        <v/>
      </c>
      <c r="H15" s="22" t="str">
        <f aca="false">IF($A15="","",SUMIFS(Cobros!$F$2:$F$501,Cobros!$B$2:$B$501,$A15,Cobros!$A$2:$A$501,"&gt;="&amp;DATE($B$2,7,1),Cobros!$A$2:$A$501,"&lt;"&amp;DATE($B$2,7+1,1)))</f>
        <v/>
      </c>
      <c r="I15" s="22" t="str">
        <f aca="false">IF($A15="","",SUMIFS(Cobros!$F$2:$F$501,Cobros!$B$2:$B$501,$A15,Cobros!$A$2:$A$501,"&gt;="&amp;DATE($B$2,8,1),Cobros!$A$2:$A$501,"&lt;"&amp;DATE($B$2,8+1,1)))</f>
        <v/>
      </c>
      <c r="J15" s="22" t="str">
        <f aca="false">IF($A15="","",SUMIFS(Cobros!$F$2:$F$501,Cobros!$B$2:$B$501,$A15,Cobros!$A$2:$A$501,"&gt;="&amp;DATE($B$2,9,1),Cobros!$A$2:$A$501,"&lt;"&amp;DATE($B$2,9+1,1)))</f>
        <v/>
      </c>
      <c r="K15" s="22" t="str">
        <f aca="false">IF($A15="","",SUMIFS(Cobros!$F$2:$F$501,Cobros!$B$2:$B$501,$A15,Cobros!$A$2:$A$501,"&gt;="&amp;DATE($B$2,10,1),Cobros!$A$2:$A$501,"&lt;"&amp;DATE($B$2,10+1,1)))</f>
        <v/>
      </c>
      <c r="L15" s="22" t="str">
        <f aca="false">IF($A15="","",SUMIFS(Cobros!$F$2:$F$501,Cobros!$B$2:$B$501,$A15,Cobros!$A$2:$A$501,"&gt;="&amp;DATE($B$2,11,1),Cobros!$A$2:$A$501,"&lt;"&amp;DATE($B$2,11+1,1)))</f>
        <v/>
      </c>
      <c r="M15" s="22" t="str">
        <f aca="false">IF($A15="","",SUMIFS(Cobros!$F$2:$F$501,Cobros!$B$2:$B$501,$A15,Cobros!$A$2:$A$501,"&gt;="&amp;DATE($B$2,12,1),Cobros!$A$2:$A$501,"&lt;"&amp;DATE($B$2,12+1,1)))</f>
        <v/>
      </c>
      <c r="N15" s="31" t="str">
        <f aca="false">IF($A15="","",SUM(B15:M15))</f>
        <v/>
      </c>
      <c r="O15" s="32" t="str">
        <f aca="false">IF($A15="","",IF($N$35=0,0,N15/$N$35))</f>
        <v/>
      </c>
    </row>
    <row r="16" customFormat="false" ht="15" hidden="false" customHeight="false" outlineLevel="0" collapsed="false">
      <c r="A16" s="30" t="str">
        <f aca="false">IF(Configuración!A27="","",Configuración!A27)</f>
        <v/>
      </c>
      <c r="B16" s="22" t="str">
        <f aca="false">IF($A16="","",SUMIFS(Cobros!$F$2:$F$501,Cobros!$B$2:$B$501,$A16,Cobros!$A$2:$A$501,"&gt;="&amp;DATE($B$2,1,1),Cobros!$A$2:$A$501,"&lt;"&amp;DATE($B$2,1+1,1)))</f>
        <v/>
      </c>
      <c r="C16" s="22" t="str">
        <f aca="false">IF($A16="","",SUMIFS(Cobros!$F$2:$F$501,Cobros!$B$2:$B$501,$A16,Cobros!$A$2:$A$501,"&gt;="&amp;DATE($B$2,2,1),Cobros!$A$2:$A$501,"&lt;"&amp;DATE($B$2,2+1,1)))</f>
        <v/>
      </c>
      <c r="D16" s="22" t="str">
        <f aca="false">IF($A16="","",SUMIFS(Cobros!$F$2:$F$501,Cobros!$B$2:$B$501,$A16,Cobros!$A$2:$A$501,"&gt;="&amp;DATE($B$2,3,1),Cobros!$A$2:$A$501,"&lt;"&amp;DATE($B$2,3+1,1)))</f>
        <v/>
      </c>
      <c r="E16" s="22" t="str">
        <f aca="false">IF($A16="","",SUMIFS(Cobros!$F$2:$F$501,Cobros!$B$2:$B$501,$A16,Cobros!$A$2:$A$501,"&gt;="&amp;DATE($B$2,4,1),Cobros!$A$2:$A$501,"&lt;"&amp;DATE($B$2,4+1,1)))</f>
        <v/>
      </c>
      <c r="F16" s="22" t="str">
        <f aca="false">IF($A16="","",SUMIFS(Cobros!$F$2:$F$501,Cobros!$B$2:$B$501,$A16,Cobros!$A$2:$A$501,"&gt;="&amp;DATE($B$2,5,1),Cobros!$A$2:$A$501,"&lt;"&amp;DATE($B$2,5+1,1)))</f>
        <v/>
      </c>
      <c r="G16" s="22" t="str">
        <f aca="false">IF($A16="","",SUMIFS(Cobros!$F$2:$F$501,Cobros!$B$2:$B$501,$A16,Cobros!$A$2:$A$501,"&gt;="&amp;DATE($B$2,6,1),Cobros!$A$2:$A$501,"&lt;"&amp;DATE($B$2,6+1,1)))</f>
        <v/>
      </c>
      <c r="H16" s="22" t="str">
        <f aca="false">IF($A16="","",SUMIFS(Cobros!$F$2:$F$501,Cobros!$B$2:$B$501,$A16,Cobros!$A$2:$A$501,"&gt;="&amp;DATE($B$2,7,1),Cobros!$A$2:$A$501,"&lt;"&amp;DATE($B$2,7+1,1)))</f>
        <v/>
      </c>
      <c r="I16" s="22" t="str">
        <f aca="false">IF($A16="","",SUMIFS(Cobros!$F$2:$F$501,Cobros!$B$2:$B$501,$A16,Cobros!$A$2:$A$501,"&gt;="&amp;DATE($B$2,8,1),Cobros!$A$2:$A$501,"&lt;"&amp;DATE($B$2,8+1,1)))</f>
        <v/>
      </c>
      <c r="J16" s="22" t="str">
        <f aca="false">IF($A16="","",SUMIFS(Cobros!$F$2:$F$501,Cobros!$B$2:$B$501,$A16,Cobros!$A$2:$A$501,"&gt;="&amp;DATE($B$2,9,1),Cobros!$A$2:$A$501,"&lt;"&amp;DATE($B$2,9+1,1)))</f>
        <v/>
      </c>
      <c r="K16" s="22" t="str">
        <f aca="false">IF($A16="","",SUMIFS(Cobros!$F$2:$F$501,Cobros!$B$2:$B$501,$A16,Cobros!$A$2:$A$501,"&gt;="&amp;DATE($B$2,10,1),Cobros!$A$2:$A$501,"&lt;"&amp;DATE($B$2,10+1,1)))</f>
        <v/>
      </c>
      <c r="L16" s="22" t="str">
        <f aca="false">IF($A16="","",SUMIFS(Cobros!$F$2:$F$501,Cobros!$B$2:$B$501,$A16,Cobros!$A$2:$A$501,"&gt;="&amp;DATE($B$2,11,1),Cobros!$A$2:$A$501,"&lt;"&amp;DATE($B$2,11+1,1)))</f>
        <v/>
      </c>
      <c r="M16" s="22" t="str">
        <f aca="false">IF($A16="","",SUMIFS(Cobros!$F$2:$F$501,Cobros!$B$2:$B$501,$A16,Cobros!$A$2:$A$501,"&gt;="&amp;DATE($B$2,12,1),Cobros!$A$2:$A$501,"&lt;"&amp;DATE($B$2,12+1,1)))</f>
        <v/>
      </c>
      <c r="N16" s="31" t="str">
        <f aca="false">IF($A16="","",SUM(B16:M16))</f>
        <v/>
      </c>
      <c r="O16" s="32" t="str">
        <f aca="false">IF($A16="","",IF($N$35=0,0,N16/$N$35))</f>
        <v/>
      </c>
    </row>
    <row r="17" customFormat="false" ht="15" hidden="false" customHeight="false" outlineLevel="0" collapsed="false">
      <c r="A17" s="30" t="str">
        <f aca="false">IF(Configuración!A28="","",Configuración!A28)</f>
        <v/>
      </c>
      <c r="B17" s="22" t="str">
        <f aca="false">IF($A17="","",SUMIFS(Cobros!$F$2:$F$501,Cobros!$B$2:$B$501,$A17,Cobros!$A$2:$A$501,"&gt;="&amp;DATE($B$2,1,1),Cobros!$A$2:$A$501,"&lt;"&amp;DATE($B$2,1+1,1)))</f>
        <v/>
      </c>
      <c r="C17" s="22" t="str">
        <f aca="false">IF($A17="","",SUMIFS(Cobros!$F$2:$F$501,Cobros!$B$2:$B$501,$A17,Cobros!$A$2:$A$501,"&gt;="&amp;DATE($B$2,2,1),Cobros!$A$2:$A$501,"&lt;"&amp;DATE($B$2,2+1,1)))</f>
        <v/>
      </c>
      <c r="D17" s="22" t="str">
        <f aca="false">IF($A17="","",SUMIFS(Cobros!$F$2:$F$501,Cobros!$B$2:$B$501,$A17,Cobros!$A$2:$A$501,"&gt;="&amp;DATE($B$2,3,1),Cobros!$A$2:$A$501,"&lt;"&amp;DATE($B$2,3+1,1)))</f>
        <v/>
      </c>
      <c r="E17" s="22" t="str">
        <f aca="false">IF($A17="","",SUMIFS(Cobros!$F$2:$F$501,Cobros!$B$2:$B$501,$A17,Cobros!$A$2:$A$501,"&gt;="&amp;DATE($B$2,4,1),Cobros!$A$2:$A$501,"&lt;"&amp;DATE($B$2,4+1,1)))</f>
        <v/>
      </c>
      <c r="F17" s="22" t="str">
        <f aca="false">IF($A17="","",SUMIFS(Cobros!$F$2:$F$501,Cobros!$B$2:$B$501,$A17,Cobros!$A$2:$A$501,"&gt;="&amp;DATE($B$2,5,1),Cobros!$A$2:$A$501,"&lt;"&amp;DATE($B$2,5+1,1)))</f>
        <v/>
      </c>
      <c r="G17" s="22" t="str">
        <f aca="false">IF($A17="","",SUMIFS(Cobros!$F$2:$F$501,Cobros!$B$2:$B$501,$A17,Cobros!$A$2:$A$501,"&gt;="&amp;DATE($B$2,6,1),Cobros!$A$2:$A$501,"&lt;"&amp;DATE($B$2,6+1,1)))</f>
        <v/>
      </c>
      <c r="H17" s="22" t="str">
        <f aca="false">IF($A17="","",SUMIFS(Cobros!$F$2:$F$501,Cobros!$B$2:$B$501,$A17,Cobros!$A$2:$A$501,"&gt;="&amp;DATE($B$2,7,1),Cobros!$A$2:$A$501,"&lt;"&amp;DATE($B$2,7+1,1)))</f>
        <v/>
      </c>
      <c r="I17" s="22" t="str">
        <f aca="false">IF($A17="","",SUMIFS(Cobros!$F$2:$F$501,Cobros!$B$2:$B$501,$A17,Cobros!$A$2:$A$501,"&gt;="&amp;DATE($B$2,8,1),Cobros!$A$2:$A$501,"&lt;"&amp;DATE($B$2,8+1,1)))</f>
        <v/>
      </c>
      <c r="J17" s="22" t="str">
        <f aca="false">IF($A17="","",SUMIFS(Cobros!$F$2:$F$501,Cobros!$B$2:$B$501,$A17,Cobros!$A$2:$A$501,"&gt;="&amp;DATE($B$2,9,1),Cobros!$A$2:$A$501,"&lt;"&amp;DATE($B$2,9+1,1)))</f>
        <v/>
      </c>
      <c r="K17" s="22" t="str">
        <f aca="false">IF($A17="","",SUMIFS(Cobros!$F$2:$F$501,Cobros!$B$2:$B$501,$A17,Cobros!$A$2:$A$501,"&gt;="&amp;DATE($B$2,10,1),Cobros!$A$2:$A$501,"&lt;"&amp;DATE($B$2,10+1,1)))</f>
        <v/>
      </c>
      <c r="L17" s="22" t="str">
        <f aca="false">IF($A17="","",SUMIFS(Cobros!$F$2:$F$501,Cobros!$B$2:$B$501,$A17,Cobros!$A$2:$A$501,"&gt;="&amp;DATE($B$2,11,1),Cobros!$A$2:$A$501,"&lt;"&amp;DATE($B$2,11+1,1)))</f>
        <v/>
      </c>
      <c r="M17" s="22" t="str">
        <f aca="false">IF($A17="","",SUMIFS(Cobros!$F$2:$F$501,Cobros!$B$2:$B$501,$A17,Cobros!$A$2:$A$501,"&gt;="&amp;DATE($B$2,12,1),Cobros!$A$2:$A$501,"&lt;"&amp;DATE($B$2,12+1,1)))</f>
        <v/>
      </c>
      <c r="N17" s="31" t="str">
        <f aca="false">IF($A17="","",SUM(B17:M17))</f>
        <v/>
      </c>
      <c r="O17" s="32" t="str">
        <f aca="false">IF($A17="","",IF($N$35=0,0,N17/$N$35))</f>
        <v/>
      </c>
    </row>
    <row r="18" customFormat="false" ht="15" hidden="false" customHeight="false" outlineLevel="0" collapsed="false">
      <c r="A18" s="30" t="str">
        <f aca="false">IF(Configuración!A29="","",Configuración!A29)</f>
        <v/>
      </c>
      <c r="B18" s="22" t="str">
        <f aca="false">IF($A18="","",SUMIFS(Cobros!$F$2:$F$501,Cobros!$B$2:$B$501,$A18,Cobros!$A$2:$A$501,"&gt;="&amp;DATE($B$2,1,1),Cobros!$A$2:$A$501,"&lt;"&amp;DATE($B$2,1+1,1)))</f>
        <v/>
      </c>
      <c r="C18" s="22" t="str">
        <f aca="false">IF($A18="","",SUMIFS(Cobros!$F$2:$F$501,Cobros!$B$2:$B$501,$A18,Cobros!$A$2:$A$501,"&gt;="&amp;DATE($B$2,2,1),Cobros!$A$2:$A$501,"&lt;"&amp;DATE($B$2,2+1,1)))</f>
        <v/>
      </c>
      <c r="D18" s="22" t="str">
        <f aca="false">IF($A18="","",SUMIFS(Cobros!$F$2:$F$501,Cobros!$B$2:$B$501,$A18,Cobros!$A$2:$A$501,"&gt;="&amp;DATE($B$2,3,1),Cobros!$A$2:$A$501,"&lt;"&amp;DATE($B$2,3+1,1)))</f>
        <v/>
      </c>
      <c r="E18" s="22" t="str">
        <f aca="false">IF($A18="","",SUMIFS(Cobros!$F$2:$F$501,Cobros!$B$2:$B$501,$A18,Cobros!$A$2:$A$501,"&gt;="&amp;DATE($B$2,4,1),Cobros!$A$2:$A$501,"&lt;"&amp;DATE($B$2,4+1,1)))</f>
        <v/>
      </c>
      <c r="F18" s="22" t="str">
        <f aca="false">IF($A18="","",SUMIFS(Cobros!$F$2:$F$501,Cobros!$B$2:$B$501,$A18,Cobros!$A$2:$A$501,"&gt;="&amp;DATE($B$2,5,1),Cobros!$A$2:$A$501,"&lt;"&amp;DATE($B$2,5+1,1)))</f>
        <v/>
      </c>
      <c r="G18" s="22" t="str">
        <f aca="false">IF($A18="","",SUMIFS(Cobros!$F$2:$F$501,Cobros!$B$2:$B$501,$A18,Cobros!$A$2:$A$501,"&gt;="&amp;DATE($B$2,6,1),Cobros!$A$2:$A$501,"&lt;"&amp;DATE($B$2,6+1,1)))</f>
        <v/>
      </c>
      <c r="H18" s="22" t="str">
        <f aca="false">IF($A18="","",SUMIFS(Cobros!$F$2:$F$501,Cobros!$B$2:$B$501,$A18,Cobros!$A$2:$A$501,"&gt;="&amp;DATE($B$2,7,1),Cobros!$A$2:$A$501,"&lt;"&amp;DATE($B$2,7+1,1)))</f>
        <v/>
      </c>
      <c r="I18" s="22" t="str">
        <f aca="false">IF($A18="","",SUMIFS(Cobros!$F$2:$F$501,Cobros!$B$2:$B$501,$A18,Cobros!$A$2:$A$501,"&gt;="&amp;DATE($B$2,8,1),Cobros!$A$2:$A$501,"&lt;"&amp;DATE($B$2,8+1,1)))</f>
        <v/>
      </c>
      <c r="J18" s="22" t="str">
        <f aca="false">IF($A18="","",SUMIFS(Cobros!$F$2:$F$501,Cobros!$B$2:$B$501,$A18,Cobros!$A$2:$A$501,"&gt;="&amp;DATE($B$2,9,1),Cobros!$A$2:$A$501,"&lt;"&amp;DATE($B$2,9+1,1)))</f>
        <v/>
      </c>
      <c r="K18" s="22" t="str">
        <f aca="false">IF($A18="","",SUMIFS(Cobros!$F$2:$F$501,Cobros!$B$2:$B$501,$A18,Cobros!$A$2:$A$501,"&gt;="&amp;DATE($B$2,10,1),Cobros!$A$2:$A$501,"&lt;"&amp;DATE($B$2,10+1,1)))</f>
        <v/>
      </c>
      <c r="L18" s="22" t="str">
        <f aca="false">IF($A18="","",SUMIFS(Cobros!$F$2:$F$501,Cobros!$B$2:$B$501,$A18,Cobros!$A$2:$A$501,"&gt;="&amp;DATE($B$2,11,1),Cobros!$A$2:$A$501,"&lt;"&amp;DATE($B$2,11+1,1)))</f>
        <v/>
      </c>
      <c r="M18" s="22" t="str">
        <f aca="false">IF($A18="","",SUMIFS(Cobros!$F$2:$F$501,Cobros!$B$2:$B$501,$A18,Cobros!$A$2:$A$501,"&gt;="&amp;DATE($B$2,12,1),Cobros!$A$2:$A$501,"&lt;"&amp;DATE($B$2,12+1,1)))</f>
        <v/>
      </c>
      <c r="N18" s="31" t="str">
        <f aca="false">IF($A18="","",SUM(B18:M18))</f>
        <v/>
      </c>
      <c r="O18" s="32" t="str">
        <f aca="false">IF($A18="","",IF($N$35=0,0,N18/$N$35))</f>
        <v/>
      </c>
    </row>
    <row r="19" customFormat="false" ht="15" hidden="false" customHeight="false" outlineLevel="0" collapsed="false">
      <c r="A19" s="30" t="str">
        <f aca="false">IF(Configuración!A30="","",Configuración!A30)</f>
        <v/>
      </c>
      <c r="B19" s="22" t="str">
        <f aca="false">IF($A19="","",SUMIFS(Cobros!$F$2:$F$501,Cobros!$B$2:$B$501,$A19,Cobros!$A$2:$A$501,"&gt;="&amp;DATE($B$2,1,1),Cobros!$A$2:$A$501,"&lt;"&amp;DATE($B$2,1+1,1)))</f>
        <v/>
      </c>
      <c r="C19" s="22" t="str">
        <f aca="false">IF($A19="","",SUMIFS(Cobros!$F$2:$F$501,Cobros!$B$2:$B$501,$A19,Cobros!$A$2:$A$501,"&gt;="&amp;DATE($B$2,2,1),Cobros!$A$2:$A$501,"&lt;"&amp;DATE($B$2,2+1,1)))</f>
        <v/>
      </c>
      <c r="D19" s="22" t="str">
        <f aca="false">IF($A19="","",SUMIFS(Cobros!$F$2:$F$501,Cobros!$B$2:$B$501,$A19,Cobros!$A$2:$A$501,"&gt;="&amp;DATE($B$2,3,1),Cobros!$A$2:$A$501,"&lt;"&amp;DATE($B$2,3+1,1)))</f>
        <v/>
      </c>
      <c r="E19" s="22" t="str">
        <f aca="false">IF($A19="","",SUMIFS(Cobros!$F$2:$F$501,Cobros!$B$2:$B$501,$A19,Cobros!$A$2:$A$501,"&gt;="&amp;DATE($B$2,4,1),Cobros!$A$2:$A$501,"&lt;"&amp;DATE($B$2,4+1,1)))</f>
        <v/>
      </c>
      <c r="F19" s="22" t="str">
        <f aca="false">IF($A19="","",SUMIFS(Cobros!$F$2:$F$501,Cobros!$B$2:$B$501,$A19,Cobros!$A$2:$A$501,"&gt;="&amp;DATE($B$2,5,1),Cobros!$A$2:$A$501,"&lt;"&amp;DATE($B$2,5+1,1)))</f>
        <v/>
      </c>
      <c r="G19" s="22" t="str">
        <f aca="false">IF($A19="","",SUMIFS(Cobros!$F$2:$F$501,Cobros!$B$2:$B$501,$A19,Cobros!$A$2:$A$501,"&gt;="&amp;DATE($B$2,6,1),Cobros!$A$2:$A$501,"&lt;"&amp;DATE($B$2,6+1,1)))</f>
        <v/>
      </c>
      <c r="H19" s="22" t="str">
        <f aca="false">IF($A19="","",SUMIFS(Cobros!$F$2:$F$501,Cobros!$B$2:$B$501,$A19,Cobros!$A$2:$A$501,"&gt;="&amp;DATE($B$2,7,1),Cobros!$A$2:$A$501,"&lt;"&amp;DATE($B$2,7+1,1)))</f>
        <v/>
      </c>
      <c r="I19" s="22" t="str">
        <f aca="false">IF($A19="","",SUMIFS(Cobros!$F$2:$F$501,Cobros!$B$2:$B$501,$A19,Cobros!$A$2:$A$501,"&gt;="&amp;DATE($B$2,8,1),Cobros!$A$2:$A$501,"&lt;"&amp;DATE($B$2,8+1,1)))</f>
        <v/>
      </c>
      <c r="J19" s="22" t="str">
        <f aca="false">IF($A19="","",SUMIFS(Cobros!$F$2:$F$501,Cobros!$B$2:$B$501,$A19,Cobros!$A$2:$A$501,"&gt;="&amp;DATE($B$2,9,1),Cobros!$A$2:$A$501,"&lt;"&amp;DATE($B$2,9+1,1)))</f>
        <v/>
      </c>
      <c r="K19" s="22" t="str">
        <f aca="false">IF($A19="","",SUMIFS(Cobros!$F$2:$F$501,Cobros!$B$2:$B$501,$A19,Cobros!$A$2:$A$501,"&gt;="&amp;DATE($B$2,10,1),Cobros!$A$2:$A$501,"&lt;"&amp;DATE($B$2,10+1,1)))</f>
        <v/>
      </c>
      <c r="L19" s="22" t="str">
        <f aca="false">IF($A19="","",SUMIFS(Cobros!$F$2:$F$501,Cobros!$B$2:$B$501,$A19,Cobros!$A$2:$A$501,"&gt;="&amp;DATE($B$2,11,1),Cobros!$A$2:$A$501,"&lt;"&amp;DATE($B$2,11+1,1)))</f>
        <v/>
      </c>
      <c r="M19" s="22" t="str">
        <f aca="false">IF($A19="","",SUMIFS(Cobros!$F$2:$F$501,Cobros!$B$2:$B$501,$A19,Cobros!$A$2:$A$501,"&gt;="&amp;DATE($B$2,12,1),Cobros!$A$2:$A$501,"&lt;"&amp;DATE($B$2,12+1,1)))</f>
        <v/>
      </c>
      <c r="N19" s="31" t="str">
        <f aca="false">IF($A19="","",SUM(B19:M19))</f>
        <v/>
      </c>
      <c r="O19" s="32" t="str">
        <f aca="false">IF($A19="","",IF($N$35=0,0,N19/$N$35))</f>
        <v/>
      </c>
    </row>
    <row r="20" customFormat="false" ht="15" hidden="false" customHeight="false" outlineLevel="0" collapsed="false">
      <c r="A20" s="30" t="str">
        <f aca="false">IF(Configuración!A31="","",Configuración!A31)</f>
        <v/>
      </c>
      <c r="B20" s="22" t="str">
        <f aca="false">IF($A20="","",SUMIFS(Cobros!$F$2:$F$501,Cobros!$B$2:$B$501,$A20,Cobros!$A$2:$A$501,"&gt;="&amp;DATE($B$2,1,1),Cobros!$A$2:$A$501,"&lt;"&amp;DATE($B$2,1+1,1)))</f>
        <v/>
      </c>
      <c r="C20" s="22" t="str">
        <f aca="false">IF($A20="","",SUMIFS(Cobros!$F$2:$F$501,Cobros!$B$2:$B$501,$A20,Cobros!$A$2:$A$501,"&gt;="&amp;DATE($B$2,2,1),Cobros!$A$2:$A$501,"&lt;"&amp;DATE($B$2,2+1,1)))</f>
        <v/>
      </c>
      <c r="D20" s="22" t="str">
        <f aca="false">IF($A20="","",SUMIFS(Cobros!$F$2:$F$501,Cobros!$B$2:$B$501,$A20,Cobros!$A$2:$A$501,"&gt;="&amp;DATE($B$2,3,1),Cobros!$A$2:$A$501,"&lt;"&amp;DATE($B$2,3+1,1)))</f>
        <v/>
      </c>
      <c r="E20" s="22" t="str">
        <f aca="false">IF($A20="","",SUMIFS(Cobros!$F$2:$F$501,Cobros!$B$2:$B$501,$A20,Cobros!$A$2:$A$501,"&gt;="&amp;DATE($B$2,4,1),Cobros!$A$2:$A$501,"&lt;"&amp;DATE($B$2,4+1,1)))</f>
        <v/>
      </c>
      <c r="F20" s="22" t="str">
        <f aca="false">IF($A20="","",SUMIFS(Cobros!$F$2:$F$501,Cobros!$B$2:$B$501,$A20,Cobros!$A$2:$A$501,"&gt;="&amp;DATE($B$2,5,1),Cobros!$A$2:$A$501,"&lt;"&amp;DATE($B$2,5+1,1)))</f>
        <v/>
      </c>
      <c r="G20" s="22" t="str">
        <f aca="false">IF($A20="","",SUMIFS(Cobros!$F$2:$F$501,Cobros!$B$2:$B$501,$A20,Cobros!$A$2:$A$501,"&gt;="&amp;DATE($B$2,6,1),Cobros!$A$2:$A$501,"&lt;"&amp;DATE($B$2,6+1,1)))</f>
        <v/>
      </c>
      <c r="H20" s="22" t="str">
        <f aca="false">IF($A20="","",SUMIFS(Cobros!$F$2:$F$501,Cobros!$B$2:$B$501,$A20,Cobros!$A$2:$A$501,"&gt;="&amp;DATE($B$2,7,1),Cobros!$A$2:$A$501,"&lt;"&amp;DATE($B$2,7+1,1)))</f>
        <v/>
      </c>
      <c r="I20" s="22" t="str">
        <f aca="false">IF($A20="","",SUMIFS(Cobros!$F$2:$F$501,Cobros!$B$2:$B$501,$A20,Cobros!$A$2:$A$501,"&gt;="&amp;DATE($B$2,8,1),Cobros!$A$2:$A$501,"&lt;"&amp;DATE($B$2,8+1,1)))</f>
        <v/>
      </c>
      <c r="J20" s="22" t="str">
        <f aca="false">IF($A20="","",SUMIFS(Cobros!$F$2:$F$501,Cobros!$B$2:$B$501,$A20,Cobros!$A$2:$A$501,"&gt;="&amp;DATE($B$2,9,1),Cobros!$A$2:$A$501,"&lt;"&amp;DATE($B$2,9+1,1)))</f>
        <v/>
      </c>
      <c r="K20" s="22" t="str">
        <f aca="false">IF($A20="","",SUMIFS(Cobros!$F$2:$F$501,Cobros!$B$2:$B$501,$A20,Cobros!$A$2:$A$501,"&gt;="&amp;DATE($B$2,10,1),Cobros!$A$2:$A$501,"&lt;"&amp;DATE($B$2,10+1,1)))</f>
        <v/>
      </c>
      <c r="L20" s="22" t="str">
        <f aca="false">IF($A20="","",SUMIFS(Cobros!$F$2:$F$501,Cobros!$B$2:$B$501,$A20,Cobros!$A$2:$A$501,"&gt;="&amp;DATE($B$2,11,1),Cobros!$A$2:$A$501,"&lt;"&amp;DATE($B$2,11+1,1)))</f>
        <v/>
      </c>
      <c r="M20" s="22" t="str">
        <f aca="false">IF($A20="","",SUMIFS(Cobros!$F$2:$F$501,Cobros!$B$2:$B$501,$A20,Cobros!$A$2:$A$501,"&gt;="&amp;DATE($B$2,12,1),Cobros!$A$2:$A$501,"&lt;"&amp;DATE($B$2,12+1,1)))</f>
        <v/>
      </c>
      <c r="N20" s="31" t="str">
        <f aca="false">IF($A20="","",SUM(B20:M20))</f>
        <v/>
      </c>
      <c r="O20" s="32" t="str">
        <f aca="false">IF($A20="","",IF($N$35=0,0,N20/$N$35))</f>
        <v/>
      </c>
    </row>
    <row r="21" customFormat="false" ht="15" hidden="false" customHeight="false" outlineLevel="0" collapsed="false">
      <c r="A21" s="30" t="str">
        <f aca="false">IF(Configuración!A32="","",Configuración!A32)</f>
        <v/>
      </c>
      <c r="B21" s="22" t="str">
        <f aca="false">IF($A21="","",SUMIFS(Cobros!$F$2:$F$501,Cobros!$B$2:$B$501,$A21,Cobros!$A$2:$A$501,"&gt;="&amp;DATE($B$2,1,1),Cobros!$A$2:$A$501,"&lt;"&amp;DATE($B$2,1+1,1)))</f>
        <v/>
      </c>
      <c r="C21" s="22" t="str">
        <f aca="false">IF($A21="","",SUMIFS(Cobros!$F$2:$F$501,Cobros!$B$2:$B$501,$A21,Cobros!$A$2:$A$501,"&gt;="&amp;DATE($B$2,2,1),Cobros!$A$2:$A$501,"&lt;"&amp;DATE($B$2,2+1,1)))</f>
        <v/>
      </c>
      <c r="D21" s="22" t="str">
        <f aca="false">IF($A21="","",SUMIFS(Cobros!$F$2:$F$501,Cobros!$B$2:$B$501,$A21,Cobros!$A$2:$A$501,"&gt;="&amp;DATE($B$2,3,1),Cobros!$A$2:$A$501,"&lt;"&amp;DATE($B$2,3+1,1)))</f>
        <v/>
      </c>
      <c r="E21" s="22" t="str">
        <f aca="false">IF($A21="","",SUMIFS(Cobros!$F$2:$F$501,Cobros!$B$2:$B$501,$A21,Cobros!$A$2:$A$501,"&gt;="&amp;DATE($B$2,4,1),Cobros!$A$2:$A$501,"&lt;"&amp;DATE($B$2,4+1,1)))</f>
        <v/>
      </c>
      <c r="F21" s="22" t="str">
        <f aca="false">IF($A21="","",SUMIFS(Cobros!$F$2:$F$501,Cobros!$B$2:$B$501,$A21,Cobros!$A$2:$A$501,"&gt;="&amp;DATE($B$2,5,1),Cobros!$A$2:$A$501,"&lt;"&amp;DATE($B$2,5+1,1)))</f>
        <v/>
      </c>
      <c r="G21" s="22" t="str">
        <f aca="false">IF($A21="","",SUMIFS(Cobros!$F$2:$F$501,Cobros!$B$2:$B$501,$A21,Cobros!$A$2:$A$501,"&gt;="&amp;DATE($B$2,6,1),Cobros!$A$2:$A$501,"&lt;"&amp;DATE($B$2,6+1,1)))</f>
        <v/>
      </c>
      <c r="H21" s="22" t="str">
        <f aca="false">IF($A21="","",SUMIFS(Cobros!$F$2:$F$501,Cobros!$B$2:$B$501,$A21,Cobros!$A$2:$A$501,"&gt;="&amp;DATE($B$2,7,1),Cobros!$A$2:$A$501,"&lt;"&amp;DATE($B$2,7+1,1)))</f>
        <v/>
      </c>
      <c r="I21" s="22" t="str">
        <f aca="false">IF($A21="","",SUMIFS(Cobros!$F$2:$F$501,Cobros!$B$2:$B$501,$A21,Cobros!$A$2:$A$501,"&gt;="&amp;DATE($B$2,8,1),Cobros!$A$2:$A$501,"&lt;"&amp;DATE($B$2,8+1,1)))</f>
        <v/>
      </c>
      <c r="J21" s="22" t="str">
        <f aca="false">IF($A21="","",SUMIFS(Cobros!$F$2:$F$501,Cobros!$B$2:$B$501,$A21,Cobros!$A$2:$A$501,"&gt;="&amp;DATE($B$2,9,1),Cobros!$A$2:$A$501,"&lt;"&amp;DATE($B$2,9+1,1)))</f>
        <v/>
      </c>
      <c r="K21" s="22" t="str">
        <f aca="false">IF($A21="","",SUMIFS(Cobros!$F$2:$F$501,Cobros!$B$2:$B$501,$A21,Cobros!$A$2:$A$501,"&gt;="&amp;DATE($B$2,10,1),Cobros!$A$2:$A$501,"&lt;"&amp;DATE($B$2,10+1,1)))</f>
        <v/>
      </c>
      <c r="L21" s="22" t="str">
        <f aca="false">IF($A21="","",SUMIFS(Cobros!$F$2:$F$501,Cobros!$B$2:$B$501,$A21,Cobros!$A$2:$A$501,"&gt;="&amp;DATE($B$2,11,1),Cobros!$A$2:$A$501,"&lt;"&amp;DATE($B$2,11+1,1)))</f>
        <v/>
      </c>
      <c r="M21" s="22" t="str">
        <f aca="false">IF($A21="","",SUMIFS(Cobros!$F$2:$F$501,Cobros!$B$2:$B$501,$A21,Cobros!$A$2:$A$501,"&gt;="&amp;DATE($B$2,12,1),Cobros!$A$2:$A$501,"&lt;"&amp;DATE($B$2,12+1,1)))</f>
        <v/>
      </c>
      <c r="N21" s="31" t="str">
        <f aca="false">IF($A21="","",SUM(B21:M21))</f>
        <v/>
      </c>
      <c r="O21" s="32" t="str">
        <f aca="false">IF($A21="","",IF($N$35=0,0,N21/$N$35))</f>
        <v/>
      </c>
    </row>
    <row r="22" customFormat="false" ht="15" hidden="false" customHeight="false" outlineLevel="0" collapsed="false">
      <c r="A22" s="30" t="str">
        <f aca="false">IF(Configuración!A33="","",Configuración!A33)</f>
        <v/>
      </c>
      <c r="B22" s="22" t="str">
        <f aca="false">IF($A22="","",SUMIFS(Cobros!$F$2:$F$501,Cobros!$B$2:$B$501,$A22,Cobros!$A$2:$A$501,"&gt;="&amp;DATE($B$2,1,1),Cobros!$A$2:$A$501,"&lt;"&amp;DATE($B$2,1+1,1)))</f>
        <v/>
      </c>
      <c r="C22" s="22" t="str">
        <f aca="false">IF($A22="","",SUMIFS(Cobros!$F$2:$F$501,Cobros!$B$2:$B$501,$A22,Cobros!$A$2:$A$501,"&gt;="&amp;DATE($B$2,2,1),Cobros!$A$2:$A$501,"&lt;"&amp;DATE($B$2,2+1,1)))</f>
        <v/>
      </c>
      <c r="D22" s="22" t="str">
        <f aca="false">IF($A22="","",SUMIFS(Cobros!$F$2:$F$501,Cobros!$B$2:$B$501,$A22,Cobros!$A$2:$A$501,"&gt;="&amp;DATE($B$2,3,1),Cobros!$A$2:$A$501,"&lt;"&amp;DATE($B$2,3+1,1)))</f>
        <v/>
      </c>
      <c r="E22" s="22" t="str">
        <f aca="false">IF($A22="","",SUMIFS(Cobros!$F$2:$F$501,Cobros!$B$2:$B$501,$A22,Cobros!$A$2:$A$501,"&gt;="&amp;DATE($B$2,4,1),Cobros!$A$2:$A$501,"&lt;"&amp;DATE($B$2,4+1,1)))</f>
        <v/>
      </c>
      <c r="F22" s="22" t="str">
        <f aca="false">IF($A22="","",SUMIFS(Cobros!$F$2:$F$501,Cobros!$B$2:$B$501,$A22,Cobros!$A$2:$A$501,"&gt;="&amp;DATE($B$2,5,1),Cobros!$A$2:$A$501,"&lt;"&amp;DATE($B$2,5+1,1)))</f>
        <v/>
      </c>
      <c r="G22" s="22" t="str">
        <f aca="false">IF($A22="","",SUMIFS(Cobros!$F$2:$F$501,Cobros!$B$2:$B$501,$A22,Cobros!$A$2:$A$501,"&gt;="&amp;DATE($B$2,6,1),Cobros!$A$2:$A$501,"&lt;"&amp;DATE($B$2,6+1,1)))</f>
        <v/>
      </c>
      <c r="H22" s="22" t="str">
        <f aca="false">IF($A22="","",SUMIFS(Cobros!$F$2:$F$501,Cobros!$B$2:$B$501,$A22,Cobros!$A$2:$A$501,"&gt;="&amp;DATE($B$2,7,1),Cobros!$A$2:$A$501,"&lt;"&amp;DATE($B$2,7+1,1)))</f>
        <v/>
      </c>
      <c r="I22" s="22" t="str">
        <f aca="false">IF($A22="","",SUMIFS(Cobros!$F$2:$F$501,Cobros!$B$2:$B$501,$A22,Cobros!$A$2:$A$501,"&gt;="&amp;DATE($B$2,8,1),Cobros!$A$2:$A$501,"&lt;"&amp;DATE($B$2,8+1,1)))</f>
        <v/>
      </c>
      <c r="J22" s="22" t="str">
        <f aca="false">IF($A22="","",SUMIFS(Cobros!$F$2:$F$501,Cobros!$B$2:$B$501,$A22,Cobros!$A$2:$A$501,"&gt;="&amp;DATE($B$2,9,1),Cobros!$A$2:$A$501,"&lt;"&amp;DATE($B$2,9+1,1)))</f>
        <v/>
      </c>
      <c r="K22" s="22" t="str">
        <f aca="false">IF($A22="","",SUMIFS(Cobros!$F$2:$F$501,Cobros!$B$2:$B$501,$A22,Cobros!$A$2:$A$501,"&gt;="&amp;DATE($B$2,10,1),Cobros!$A$2:$A$501,"&lt;"&amp;DATE($B$2,10+1,1)))</f>
        <v/>
      </c>
      <c r="L22" s="22" t="str">
        <f aca="false">IF($A22="","",SUMIFS(Cobros!$F$2:$F$501,Cobros!$B$2:$B$501,$A22,Cobros!$A$2:$A$501,"&gt;="&amp;DATE($B$2,11,1),Cobros!$A$2:$A$501,"&lt;"&amp;DATE($B$2,11+1,1)))</f>
        <v/>
      </c>
      <c r="M22" s="22" t="str">
        <f aca="false">IF($A22="","",SUMIFS(Cobros!$F$2:$F$501,Cobros!$B$2:$B$501,$A22,Cobros!$A$2:$A$501,"&gt;="&amp;DATE($B$2,12,1),Cobros!$A$2:$A$501,"&lt;"&amp;DATE($B$2,12+1,1)))</f>
        <v/>
      </c>
      <c r="N22" s="31" t="str">
        <f aca="false">IF($A22="","",SUM(B22:M22))</f>
        <v/>
      </c>
      <c r="O22" s="32" t="str">
        <f aca="false">IF($A22="","",IF($N$35=0,0,N22/$N$35))</f>
        <v/>
      </c>
    </row>
    <row r="23" customFormat="false" ht="15" hidden="false" customHeight="false" outlineLevel="0" collapsed="false">
      <c r="A23" s="30" t="str">
        <f aca="false">IF(Configuración!A34="","",Configuración!A34)</f>
        <v/>
      </c>
      <c r="B23" s="22" t="str">
        <f aca="false">IF($A23="","",SUMIFS(Cobros!$F$2:$F$501,Cobros!$B$2:$B$501,$A23,Cobros!$A$2:$A$501,"&gt;="&amp;DATE($B$2,1,1),Cobros!$A$2:$A$501,"&lt;"&amp;DATE($B$2,1+1,1)))</f>
        <v/>
      </c>
      <c r="C23" s="22" t="str">
        <f aca="false">IF($A23="","",SUMIFS(Cobros!$F$2:$F$501,Cobros!$B$2:$B$501,$A23,Cobros!$A$2:$A$501,"&gt;="&amp;DATE($B$2,2,1),Cobros!$A$2:$A$501,"&lt;"&amp;DATE($B$2,2+1,1)))</f>
        <v/>
      </c>
      <c r="D23" s="22" t="str">
        <f aca="false">IF($A23="","",SUMIFS(Cobros!$F$2:$F$501,Cobros!$B$2:$B$501,$A23,Cobros!$A$2:$A$501,"&gt;="&amp;DATE($B$2,3,1),Cobros!$A$2:$A$501,"&lt;"&amp;DATE($B$2,3+1,1)))</f>
        <v/>
      </c>
      <c r="E23" s="22" t="str">
        <f aca="false">IF($A23="","",SUMIFS(Cobros!$F$2:$F$501,Cobros!$B$2:$B$501,$A23,Cobros!$A$2:$A$501,"&gt;="&amp;DATE($B$2,4,1),Cobros!$A$2:$A$501,"&lt;"&amp;DATE($B$2,4+1,1)))</f>
        <v/>
      </c>
      <c r="F23" s="22" t="str">
        <f aca="false">IF($A23="","",SUMIFS(Cobros!$F$2:$F$501,Cobros!$B$2:$B$501,$A23,Cobros!$A$2:$A$501,"&gt;="&amp;DATE($B$2,5,1),Cobros!$A$2:$A$501,"&lt;"&amp;DATE($B$2,5+1,1)))</f>
        <v/>
      </c>
      <c r="G23" s="22" t="str">
        <f aca="false">IF($A23="","",SUMIFS(Cobros!$F$2:$F$501,Cobros!$B$2:$B$501,$A23,Cobros!$A$2:$A$501,"&gt;="&amp;DATE($B$2,6,1),Cobros!$A$2:$A$501,"&lt;"&amp;DATE($B$2,6+1,1)))</f>
        <v/>
      </c>
      <c r="H23" s="22" t="str">
        <f aca="false">IF($A23="","",SUMIFS(Cobros!$F$2:$F$501,Cobros!$B$2:$B$501,$A23,Cobros!$A$2:$A$501,"&gt;="&amp;DATE($B$2,7,1),Cobros!$A$2:$A$501,"&lt;"&amp;DATE($B$2,7+1,1)))</f>
        <v/>
      </c>
      <c r="I23" s="22" t="str">
        <f aca="false">IF($A23="","",SUMIFS(Cobros!$F$2:$F$501,Cobros!$B$2:$B$501,$A23,Cobros!$A$2:$A$501,"&gt;="&amp;DATE($B$2,8,1),Cobros!$A$2:$A$501,"&lt;"&amp;DATE($B$2,8+1,1)))</f>
        <v/>
      </c>
      <c r="J23" s="22" t="str">
        <f aca="false">IF($A23="","",SUMIFS(Cobros!$F$2:$F$501,Cobros!$B$2:$B$501,$A23,Cobros!$A$2:$A$501,"&gt;="&amp;DATE($B$2,9,1),Cobros!$A$2:$A$501,"&lt;"&amp;DATE($B$2,9+1,1)))</f>
        <v/>
      </c>
      <c r="K23" s="22" t="str">
        <f aca="false">IF($A23="","",SUMIFS(Cobros!$F$2:$F$501,Cobros!$B$2:$B$501,$A23,Cobros!$A$2:$A$501,"&gt;="&amp;DATE($B$2,10,1),Cobros!$A$2:$A$501,"&lt;"&amp;DATE($B$2,10+1,1)))</f>
        <v/>
      </c>
      <c r="L23" s="22" t="str">
        <f aca="false">IF($A23="","",SUMIFS(Cobros!$F$2:$F$501,Cobros!$B$2:$B$501,$A23,Cobros!$A$2:$A$501,"&gt;="&amp;DATE($B$2,11,1),Cobros!$A$2:$A$501,"&lt;"&amp;DATE($B$2,11+1,1)))</f>
        <v/>
      </c>
      <c r="M23" s="22" t="str">
        <f aca="false">IF($A23="","",SUMIFS(Cobros!$F$2:$F$501,Cobros!$B$2:$B$501,$A23,Cobros!$A$2:$A$501,"&gt;="&amp;DATE($B$2,12,1),Cobros!$A$2:$A$501,"&lt;"&amp;DATE($B$2,12+1,1)))</f>
        <v/>
      </c>
      <c r="N23" s="31" t="str">
        <f aca="false">IF($A23="","",SUM(B23:M23))</f>
        <v/>
      </c>
      <c r="O23" s="32" t="str">
        <f aca="false">IF($A23="","",IF($N$35=0,0,N23/$N$35))</f>
        <v/>
      </c>
    </row>
    <row r="24" customFormat="false" ht="15" hidden="false" customHeight="false" outlineLevel="0" collapsed="false">
      <c r="A24" s="30" t="str">
        <f aca="false">IF(Configuración!A35="","",Configuración!A35)</f>
        <v/>
      </c>
      <c r="B24" s="22" t="str">
        <f aca="false">IF($A24="","",SUMIFS(Cobros!$F$2:$F$501,Cobros!$B$2:$B$501,$A24,Cobros!$A$2:$A$501,"&gt;="&amp;DATE($B$2,1,1),Cobros!$A$2:$A$501,"&lt;"&amp;DATE($B$2,1+1,1)))</f>
        <v/>
      </c>
      <c r="C24" s="22" t="str">
        <f aca="false">IF($A24="","",SUMIFS(Cobros!$F$2:$F$501,Cobros!$B$2:$B$501,$A24,Cobros!$A$2:$A$501,"&gt;="&amp;DATE($B$2,2,1),Cobros!$A$2:$A$501,"&lt;"&amp;DATE($B$2,2+1,1)))</f>
        <v/>
      </c>
      <c r="D24" s="22" t="str">
        <f aca="false">IF($A24="","",SUMIFS(Cobros!$F$2:$F$501,Cobros!$B$2:$B$501,$A24,Cobros!$A$2:$A$501,"&gt;="&amp;DATE($B$2,3,1),Cobros!$A$2:$A$501,"&lt;"&amp;DATE($B$2,3+1,1)))</f>
        <v/>
      </c>
      <c r="E24" s="22" t="str">
        <f aca="false">IF($A24="","",SUMIFS(Cobros!$F$2:$F$501,Cobros!$B$2:$B$501,$A24,Cobros!$A$2:$A$501,"&gt;="&amp;DATE($B$2,4,1),Cobros!$A$2:$A$501,"&lt;"&amp;DATE($B$2,4+1,1)))</f>
        <v/>
      </c>
      <c r="F24" s="22" t="str">
        <f aca="false">IF($A24="","",SUMIFS(Cobros!$F$2:$F$501,Cobros!$B$2:$B$501,$A24,Cobros!$A$2:$A$501,"&gt;="&amp;DATE($B$2,5,1),Cobros!$A$2:$A$501,"&lt;"&amp;DATE($B$2,5+1,1)))</f>
        <v/>
      </c>
      <c r="G24" s="22" t="str">
        <f aca="false">IF($A24="","",SUMIFS(Cobros!$F$2:$F$501,Cobros!$B$2:$B$501,$A24,Cobros!$A$2:$A$501,"&gt;="&amp;DATE($B$2,6,1),Cobros!$A$2:$A$501,"&lt;"&amp;DATE($B$2,6+1,1)))</f>
        <v/>
      </c>
      <c r="H24" s="22" t="str">
        <f aca="false">IF($A24="","",SUMIFS(Cobros!$F$2:$F$501,Cobros!$B$2:$B$501,$A24,Cobros!$A$2:$A$501,"&gt;="&amp;DATE($B$2,7,1),Cobros!$A$2:$A$501,"&lt;"&amp;DATE($B$2,7+1,1)))</f>
        <v/>
      </c>
      <c r="I24" s="22" t="str">
        <f aca="false">IF($A24="","",SUMIFS(Cobros!$F$2:$F$501,Cobros!$B$2:$B$501,$A24,Cobros!$A$2:$A$501,"&gt;="&amp;DATE($B$2,8,1),Cobros!$A$2:$A$501,"&lt;"&amp;DATE($B$2,8+1,1)))</f>
        <v/>
      </c>
      <c r="J24" s="22" t="str">
        <f aca="false">IF($A24="","",SUMIFS(Cobros!$F$2:$F$501,Cobros!$B$2:$B$501,$A24,Cobros!$A$2:$A$501,"&gt;="&amp;DATE($B$2,9,1),Cobros!$A$2:$A$501,"&lt;"&amp;DATE($B$2,9+1,1)))</f>
        <v/>
      </c>
      <c r="K24" s="22" t="str">
        <f aca="false">IF($A24="","",SUMIFS(Cobros!$F$2:$F$501,Cobros!$B$2:$B$501,$A24,Cobros!$A$2:$A$501,"&gt;="&amp;DATE($B$2,10,1),Cobros!$A$2:$A$501,"&lt;"&amp;DATE($B$2,10+1,1)))</f>
        <v/>
      </c>
      <c r="L24" s="22" t="str">
        <f aca="false">IF($A24="","",SUMIFS(Cobros!$F$2:$F$501,Cobros!$B$2:$B$501,$A24,Cobros!$A$2:$A$501,"&gt;="&amp;DATE($B$2,11,1),Cobros!$A$2:$A$501,"&lt;"&amp;DATE($B$2,11+1,1)))</f>
        <v/>
      </c>
      <c r="M24" s="22" t="str">
        <f aca="false">IF($A24="","",SUMIFS(Cobros!$F$2:$F$501,Cobros!$B$2:$B$501,$A24,Cobros!$A$2:$A$501,"&gt;="&amp;DATE($B$2,12,1),Cobros!$A$2:$A$501,"&lt;"&amp;DATE($B$2,12+1,1)))</f>
        <v/>
      </c>
      <c r="N24" s="31" t="str">
        <f aca="false">IF($A24="","",SUM(B24:M24))</f>
        <v/>
      </c>
      <c r="O24" s="32" t="str">
        <f aca="false">IF($A24="","",IF($N$35=0,0,N24/$N$35))</f>
        <v/>
      </c>
    </row>
    <row r="25" customFormat="false" ht="15" hidden="false" customHeight="false" outlineLevel="0" collapsed="false">
      <c r="A25" s="30" t="str">
        <f aca="false">IF(Configuración!A36="","",Configuración!A36)</f>
        <v/>
      </c>
      <c r="B25" s="22" t="str">
        <f aca="false">IF($A25="","",SUMIFS(Cobros!$F$2:$F$501,Cobros!$B$2:$B$501,$A25,Cobros!$A$2:$A$501,"&gt;="&amp;DATE($B$2,1,1),Cobros!$A$2:$A$501,"&lt;"&amp;DATE($B$2,1+1,1)))</f>
        <v/>
      </c>
      <c r="C25" s="22" t="str">
        <f aca="false">IF($A25="","",SUMIFS(Cobros!$F$2:$F$501,Cobros!$B$2:$B$501,$A25,Cobros!$A$2:$A$501,"&gt;="&amp;DATE($B$2,2,1),Cobros!$A$2:$A$501,"&lt;"&amp;DATE($B$2,2+1,1)))</f>
        <v/>
      </c>
      <c r="D25" s="22" t="str">
        <f aca="false">IF($A25="","",SUMIFS(Cobros!$F$2:$F$501,Cobros!$B$2:$B$501,$A25,Cobros!$A$2:$A$501,"&gt;="&amp;DATE($B$2,3,1),Cobros!$A$2:$A$501,"&lt;"&amp;DATE($B$2,3+1,1)))</f>
        <v/>
      </c>
      <c r="E25" s="22" t="str">
        <f aca="false">IF($A25="","",SUMIFS(Cobros!$F$2:$F$501,Cobros!$B$2:$B$501,$A25,Cobros!$A$2:$A$501,"&gt;="&amp;DATE($B$2,4,1),Cobros!$A$2:$A$501,"&lt;"&amp;DATE($B$2,4+1,1)))</f>
        <v/>
      </c>
      <c r="F25" s="22" t="str">
        <f aca="false">IF($A25="","",SUMIFS(Cobros!$F$2:$F$501,Cobros!$B$2:$B$501,$A25,Cobros!$A$2:$A$501,"&gt;="&amp;DATE($B$2,5,1),Cobros!$A$2:$A$501,"&lt;"&amp;DATE($B$2,5+1,1)))</f>
        <v/>
      </c>
      <c r="G25" s="22" t="str">
        <f aca="false">IF($A25="","",SUMIFS(Cobros!$F$2:$F$501,Cobros!$B$2:$B$501,$A25,Cobros!$A$2:$A$501,"&gt;="&amp;DATE($B$2,6,1),Cobros!$A$2:$A$501,"&lt;"&amp;DATE($B$2,6+1,1)))</f>
        <v/>
      </c>
      <c r="H25" s="22" t="str">
        <f aca="false">IF($A25="","",SUMIFS(Cobros!$F$2:$F$501,Cobros!$B$2:$B$501,$A25,Cobros!$A$2:$A$501,"&gt;="&amp;DATE($B$2,7,1),Cobros!$A$2:$A$501,"&lt;"&amp;DATE($B$2,7+1,1)))</f>
        <v/>
      </c>
      <c r="I25" s="22" t="str">
        <f aca="false">IF($A25="","",SUMIFS(Cobros!$F$2:$F$501,Cobros!$B$2:$B$501,$A25,Cobros!$A$2:$A$501,"&gt;="&amp;DATE($B$2,8,1),Cobros!$A$2:$A$501,"&lt;"&amp;DATE($B$2,8+1,1)))</f>
        <v/>
      </c>
      <c r="J25" s="22" t="str">
        <f aca="false">IF($A25="","",SUMIFS(Cobros!$F$2:$F$501,Cobros!$B$2:$B$501,$A25,Cobros!$A$2:$A$501,"&gt;="&amp;DATE($B$2,9,1),Cobros!$A$2:$A$501,"&lt;"&amp;DATE($B$2,9+1,1)))</f>
        <v/>
      </c>
      <c r="K25" s="22" t="str">
        <f aca="false">IF($A25="","",SUMIFS(Cobros!$F$2:$F$501,Cobros!$B$2:$B$501,$A25,Cobros!$A$2:$A$501,"&gt;="&amp;DATE($B$2,10,1),Cobros!$A$2:$A$501,"&lt;"&amp;DATE($B$2,10+1,1)))</f>
        <v/>
      </c>
      <c r="L25" s="22" t="str">
        <f aca="false">IF($A25="","",SUMIFS(Cobros!$F$2:$F$501,Cobros!$B$2:$B$501,$A25,Cobros!$A$2:$A$501,"&gt;="&amp;DATE($B$2,11,1),Cobros!$A$2:$A$501,"&lt;"&amp;DATE($B$2,11+1,1)))</f>
        <v/>
      </c>
      <c r="M25" s="22" t="str">
        <f aca="false">IF($A25="","",SUMIFS(Cobros!$F$2:$F$501,Cobros!$B$2:$B$501,$A25,Cobros!$A$2:$A$501,"&gt;="&amp;DATE($B$2,12,1),Cobros!$A$2:$A$501,"&lt;"&amp;DATE($B$2,12+1,1)))</f>
        <v/>
      </c>
      <c r="N25" s="31" t="str">
        <f aca="false">IF($A25="","",SUM(B25:M25))</f>
        <v/>
      </c>
      <c r="O25" s="32" t="str">
        <f aca="false">IF($A25="","",IF($N$35=0,0,N25/$N$35))</f>
        <v/>
      </c>
    </row>
    <row r="26" customFormat="false" ht="15" hidden="false" customHeight="false" outlineLevel="0" collapsed="false">
      <c r="A26" s="30" t="str">
        <f aca="false">IF(Configuración!A37="","",Configuración!A37)</f>
        <v/>
      </c>
      <c r="B26" s="22" t="str">
        <f aca="false">IF($A26="","",SUMIFS(Cobros!$F$2:$F$501,Cobros!$B$2:$B$501,$A26,Cobros!$A$2:$A$501,"&gt;="&amp;DATE($B$2,1,1),Cobros!$A$2:$A$501,"&lt;"&amp;DATE($B$2,1+1,1)))</f>
        <v/>
      </c>
      <c r="C26" s="22" t="str">
        <f aca="false">IF($A26="","",SUMIFS(Cobros!$F$2:$F$501,Cobros!$B$2:$B$501,$A26,Cobros!$A$2:$A$501,"&gt;="&amp;DATE($B$2,2,1),Cobros!$A$2:$A$501,"&lt;"&amp;DATE($B$2,2+1,1)))</f>
        <v/>
      </c>
      <c r="D26" s="22" t="str">
        <f aca="false">IF($A26="","",SUMIFS(Cobros!$F$2:$F$501,Cobros!$B$2:$B$501,$A26,Cobros!$A$2:$A$501,"&gt;="&amp;DATE($B$2,3,1),Cobros!$A$2:$A$501,"&lt;"&amp;DATE($B$2,3+1,1)))</f>
        <v/>
      </c>
      <c r="E26" s="22" t="str">
        <f aca="false">IF($A26="","",SUMIFS(Cobros!$F$2:$F$501,Cobros!$B$2:$B$501,$A26,Cobros!$A$2:$A$501,"&gt;="&amp;DATE($B$2,4,1),Cobros!$A$2:$A$501,"&lt;"&amp;DATE($B$2,4+1,1)))</f>
        <v/>
      </c>
      <c r="F26" s="22" t="str">
        <f aca="false">IF($A26="","",SUMIFS(Cobros!$F$2:$F$501,Cobros!$B$2:$B$501,$A26,Cobros!$A$2:$A$501,"&gt;="&amp;DATE($B$2,5,1),Cobros!$A$2:$A$501,"&lt;"&amp;DATE($B$2,5+1,1)))</f>
        <v/>
      </c>
      <c r="G26" s="22" t="str">
        <f aca="false">IF($A26="","",SUMIFS(Cobros!$F$2:$F$501,Cobros!$B$2:$B$501,$A26,Cobros!$A$2:$A$501,"&gt;="&amp;DATE($B$2,6,1),Cobros!$A$2:$A$501,"&lt;"&amp;DATE($B$2,6+1,1)))</f>
        <v/>
      </c>
      <c r="H26" s="22" t="str">
        <f aca="false">IF($A26="","",SUMIFS(Cobros!$F$2:$F$501,Cobros!$B$2:$B$501,$A26,Cobros!$A$2:$A$501,"&gt;="&amp;DATE($B$2,7,1),Cobros!$A$2:$A$501,"&lt;"&amp;DATE($B$2,7+1,1)))</f>
        <v/>
      </c>
      <c r="I26" s="22" t="str">
        <f aca="false">IF($A26="","",SUMIFS(Cobros!$F$2:$F$501,Cobros!$B$2:$B$501,$A26,Cobros!$A$2:$A$501,"&gt;="&amp;DATE($B$2,8,1),Cobros!$A$2:$A$501,"&lt;"&amp;DATE($B$2,8+1,1)))</f>
        <v/>
      </c>
      <c r="J26" s="22" t="str">
        <f aca="false">IF($A26="","",SUMIFS(Cobros!$F$2:$F$501,Cobros!$B$2:$B$501,$A26,Cobros!$A$2:$A$501,"&gt;="&amp;DATE($B$2,9,1),Cobros!$A$2:$A$501,"&lt;"&amp;DATE($B$2,9+1,1)))</f>
        <v/>
      </c>
      <c r="K26" s="22" t="str">
        <f aca="false">IF($A26="","",SUMIFS(Cobros!$F$2:$F$501,Cobros!$B$2:$B$501,$A26,Cobros!$A$2:$A$501,"&gt;="&amp;DATE($B$2,10,1),Cobros!$A$2:$A$501,"&lt;"&amp;DATE($B$2,10+1,1)))</f>
        <v/>
      </c>
      <c r="L26" s="22" t="str">
        <f aca="false">IF($A26="","",SUMIFS(Cobros!$F$2:$F$501,Cobros!$B$2:$B$501,$A26,Cobros!$A$2:$A$501,"&gt;="&amp;DATE($B$2,11,1),Cobros!$A$2:$A$501,"&lt;"&amp;DATE($B$2,11+1,1)))</f>
        <v/>
      </c>
      <c r="M26" s="22" t="str">
        <f aca="false">IF($A26="","",SUMIFS(Cobros!$F$2:$F$501,Cobros!$B$2:$B$501,$A26,Cobros!$A$2:$A$501,"&gt;="&amp;DATE($B$2,12,1),Cobros!$A$2:$A$501,"&lt;"&amp;DATE($B$2,12+1,1)))</f>
        <v/>
      </c>
      <c r="N26" s="31" t="str">
        <f aca="false">IF($A26="","",SUM(B26:M26))</f>
        <v/>
      </c>
      <c r="O26" s="32" t="str">
        <f aca="false">IF($A26="","",IF($N$35=0,0,N26/$N$35))</f>
        <v/>
      </c>
    </row>
    <row r="27" customFormat="false" ht="15" hidden="false" customHeight="false" outlineLevel="0" collapsed="false">
      <c r="A27" s="30" t="str">
        <f aca="false">IF(Configuración!A38="","",Configuración!A38)</f>
        <v/>
      </c>
      <c r="B27" s="22" t="str">
        <f aca="false">IF($A27="","",SUMIFS(Cobros!$F$2:$F$501,Cobros!$B$2:$B$501,$A27,Cobros!$A$2:$A$501,"&gt;="&amp;DATE($B$2,1,1),Cobros!$A$2:$A$501,"&lt;"&amp;DATE($B$2,1+1,1)))</f>
        <v/>
      </c>
      <c r="C27" s="22" t="str">
        <f aca="false">IF($A27="","",SUMIFS(Cobros!$F$2:$F$501,Cobros!$B$2:$B$501,$A27,Cobros!$A$2:$A$501,"&gt;="&amp;DATE($B$2,2,1),Cobros!$A$2:$A$501,"&lt;"&amp;DATE($B$2,2+1,1)))</f>
        <v/>
      </c>
      <c r="D27" s="22" t="str">
        <f aca="false">IF($A27="","",SUMIFS(Cobros!$F$2:$F$501,Cobros!$B$2:$B$501,$A27,Cobros!$A$2:$A$501,"&gt;="&amp;DATE($B$2,3,1),Cobros!$A$2:$A$501,"&lt;"&amp;DATE($B$2,3+1,1)))</f>
        <v/>
      </c>
      <c r="E27" s="22" t="str">
        <f aca="false">IF($A27="","",SUMIFS(Cobros!$F$2:$F$501,Cobros!$B$2:$B$501,$A27,Cobros!$A$2:$A$501,"&gt;="&amp;DATE($B$2,4,1),Cobros!$A$2:$A$501,"&lt;"&amp;DATE($B$2,4+1,1)))</f>
        <v/>
      </c>
      <c r="F27" s="22" t="str">
        <f aca="false">IF($A27="","",SUMIFS(Cobros!$F$2:$F$501,Cobros!$B$2:$B$501,$A27,Cobros!$A$2:$A$501,"&gt;="&amp;DATE($B$2,5,1),Cobros!$A$2:$A$501,"&lt;"&amp;DATE($B$2,5+1,1)))</f>
        <v/>
      </c>
      <c r="G27" s="22" t="str">
        <f aca="false">IF($A27="","",SUMIFS(Cobros!$F$2:$F$501,Cobros!$B$2:$B$501,$A27,Cobros!$A$2:$A$501,"&gt;="&amp;DATE($B$2,6,1),Cobros!$A$2:$A$501,"&lt;"&amp;DATE($B$2,6+1,1)))</f>
        <v/>
      </c>
      <c r="H27" s="22" t="str">
        <f aca="false">IF($A27="","",SUMIFS(Cobros!$F$2:$F$501,Cobros!$B$2:$B$501,$A27,Cobros!$A$2:$A$501,"&gt;="&amp;DATE($B$2,7,1),Cobros!$A$2:$A$501,"&lt;"&amp;DATE($B$2,7+1,1)))</f>
        <v/>
      </c>
      <c r="I27" s="22" t="str">
        <f aca="false">IF($A27="","",SUMIFS(Cobros!$F$2:$F$501,Cobros!$B$2:$B$501,$A27,Cobros!$A$2:$A$501,"&gt;="&amp;DATE($B$2,8,1),Cobros!$A$2:$A$501,"&lt;"&amp;DATE($B$2,8+1,1)))</f>
        <v/>
      </c>
      <c r="J27" s="22" t="str">
        <f aca="false">IF($A27="","",SUMIFS(Cobros!$F$2:$F$501,Cobros!$B$2:$B$501,$A27,Cobros!$A$2:$A$501,"&gt;="&amp;DATE($B$2,9,1),Cobros!$A$2:$A$501,"&lt;"&amp;DATE($B$2,9+1,1)))</f>
        <v/>
      </c>
      <c r="K27" s="22" t="str">
        <f aca="false">IF($A27="","",SUMIFS(Cobros!$F$2:$F$501,Cobros!$B$2:$B$501,$A27,Cobros!$A$2:$A$501,"&gt;="&amp;DATE($B$2,10,1),Cobros!$A$2:$A$501,"&lt;"&amp;DATE($B$2,10+1,1)))</f>
        <v/>
      </c>
      <c r="L27" s="22" t="str">
        <f aca="false">IF($A27="","",SUMIFS(Cobros!$F$2:$F$501,Cobros!$B$2:$B$501,$A27,Cobros!$A$2:$A$501,"&gt;="&amp;DATE($B$2,11,1),Cobros!$A$2:$A$501,"&lt;"&amp;DATE($B$2,11+1,1)))</f>
        <v/>
      </c>
      <c r="M27" s="22" t="str">
        <f aca="false">IF($A27="","",SUMIFS(Cobros!$F$2:$F$501,Cobros!$B$2:$B$501,$A27,Cobros!$A$2:$A$501,"&gt;="&amp;DATE($B$2,12,1),Cobros!$A$2:$A$501,"&lt;"&amp;DATE($B$2,12+1,1)))</f>
        <v/>
      </c>
      <c r="N27" s="31" t="str">
        <f aca="false">IF($A27="","",SUM(B27:M27))</f>
        <v/>
      </c>
      <c r="O27" s="32" t="str">
        <f aca="false">IF($A27="","",IF($N$35=0,0,N27/$N$35))</f>
        <v/>
      </c>
    </row>
    <row r="28" customFormat="false" ht="15" hidden="false" customHeight="false" outlineLevel="0" collapsed="false">
      <c r="A28" s="30" t="str">
        <f aca="false">IF(Configuración!A39="","",Configuración!A39)</f>
        <v/>
      </c>
      <c r="B28" s="22" t="str">
        <f aca="false">IF($A28="","",SUMIFS(Cobros!$F$2:$F$501,Cobros!$B$2:$B$501,$A28,Cobros!$A$2:$A$501,"&gt;="&amp;DATE($B$2,1,1),Cobros!$A$2:$A$501,"&lt;"&amp;DATE($B$2,1+1,1)))</f>
        <v/>
      </c>
      <c r="C28" s="22" t="str">
        <f aca="false">IF($A28="","",SUMIFS(Cobros!$F$2:$F$501,Cobros!$B$2:$B$501,$A28,Cobros!$A$2:$A$501,"&gt;="&amp;DATE($B$2,2,1),Cobros!$A$2:$A$501,"&lt;"&amp;DATE($B$2,2+1,1)))</f>
        <v/>
      </c>
      <c r="D28" s="22" t="str">
        <f aca="false">IF($A28="","",SUMIFS(Cobros!$F$2:$F$501,Cobros!$B$2:$B$501,$A28,Cobros!$A$2:$A$501,"&gt;="&amp;DATE($B$2,3,1),Cobros!$A$2:$A$501,"&lt;"&amp;DATE($B$2,3+1,1)))</f>
        <v/>
      </c>
      <c r="E28" s="22" t="str">
        <f aca="false">IF($A28="","",SUMIFS(Cobros!$F$2:$F$501,Cobros!$B$2:$B$501,$A28,Cobros!$A$2:$A$501,"&gt;="&amp;DATE($B$2,4,1),Cobros!$A$2:$A$501,"&lt;"&amp;DATE($B$2,4+1,1)))</f>
        <v/>
      </c>
      <c r="F28" s="22" t="str">
        <f aca="false">IF($A28="","",SUMIFS(Cobros!$F$2:$F$501,Cobros!$B$2:$B$501,$A28,Cobros!$A$2:$A$501,"&gt;="&amp;DATE($B$2,5,1),Cobros!$A$2:$A$501,"&lt;"&amp;DATE($B$2,5+1,1)))</f>
        <v/>
      </c>
      <c r="G28" s="22" t="str">
        <f aca="false">IF($A28="","",SUMIFS(Cobros!$F$2:$F$501,Cobros!$B$2:$B$501,$A28,Cobros!$A$2:$A$501,"&gt;="&amp;DATE($B$2,6,1),Cobros!$A$2:$A$501,"&lt;"&amp;DATE($B$2,6+1,1)))</f>
        <v/>
      </c>
      <c r="H28" s="22" t="str">
        <f aca="false">IF($A28="","",SUMIFS(Cobros!$F$2:$F$501,Cobros!$B$2:$B$501,$A28,Cobros!$A$2:$A$501,"&gt;="&amp;DATE($B$2,7,1),Cobros!$A$2:$A$501,"&lt;"&amp;DATE($B$2,7+1,1)))</f>
        <v/>
      </c>
      <c r="I28" s="22" t="str">
        <f aca="false">IF($A28="","",SUMIFS(Cobros!$F$2:$F$501,Cobros!$B$2:$B$501,$A28,Cobros!$A$2:$A$501,"&gt;="&amp;DATE($B$2,8,1),Cobros!$A$2:$A$501,"&lt;"&amp;DATE($B$2,8+1,1)))</f>
        <v/>
      </c>
      <c r="J28" s="22" t="str">
        <f aca="false">IF($A28="","",SUMIFS(Cobros!$F$2:$F$501,Cobros!$B$2:$B$501,$A28,Cobros!$A$2:$A$501,"&gt;="&amp;DATE($B$2,9,1),Cobros!$A$2:$A$501,"&lt;"&amp;DATE($B$2,9+1,1)))</f>
        <v/>
      </c>
      <c r="K28" s="22" t="str">
        <f aca="false">IF($A28="","",SUMIFS(Cobros!$F$2:$F$501,Cobros!$B$2:$B$501,$A28,Cobros!$A$2:$A$501,"&gt;="&amp;DATE($B$2,10,1),Cobros!$A$2:$A$501,"&lt;"&amp;DATE($B$2,10+1,1)))</f>
        <v/>
      </c>
      <c r="L28" s="22" t="str">
        <f aca="false">IF($A28="","",SUMIFS(Cobros!$F$2:$F$501,Cobros!$B$2:$B$501,$A28,Cobros!$A$2:$A$501,"&gt;="&amp;DATE($B$2,11,1),Cobros!$A$2:$A$501,"&lt;"&amp;DATE($B$2,11+1,1)))</f>
        <v/>
      </c>
      <c r="M28" s="22" t="str">
        <f aca="false">IF($A28="","",SUMIFS(Cobros!$F$2:$F$501,Cobros!$B$2:$B$501,$A28,Cobros!$A$2:$A$501,"&gt;="&amp;DATE($B$2,12,1),Cobros!$A$2:$A$501,"&lt;"&amp;DATE($B$2,12+1,1)))</f>
        <v/>
      </c>
      <c r="N28" s="31" t="str">
        <f aca="false">IF($A28="","",SUM(B28:M28))</f>
        <v/>
      </c>
      <c r="O28" s="32" t="str">
        <f aca="false">IF($A28="","",IF($N$35=0,0,N28/$N$35))</f>
        <v/>
      </c>
    </row>
    <row r="29" customFormat="false" ht="15" hidden="false" customHeight="false" outlineLevel="0" collapsed="false">
      <c r="A29" s="30" t="str">
        <f aca="false">IF(Configuración!A40="","",Configuración!A40)</f>
        <v/>
      </c>
      <c r="B29" s="22" t="str">
        <f aca="false">IF($A29="","",SUMIFS(Cobros!$F$2:$F$501,Cobros!$B$2:$B$501,$A29,Cobros!$A$2:$A$501,"&gt;="&amp;DATE($B$2,1,1),Cobros!$A$2:$A$501,"&lt;"&amp;DATE($B$2,1+1,1)))</f>
        <v/>
      </c>
      <c r="C29" s="22" t="str">
        <f aca="false">IF($A29="","",SUMIFS(Cobros!$F$2:$F$501,Cobros!$B$2:$B$501,$A29,Cobros!$A$2:$A$501,"&gt;="&amp;DATE($B$2,2,1),Cobros!$A$2:$A$501,"&lt;"&amp;DATE($B$2,2+1,1)))</f>
        <v/>
      </c>
      <c r="D29" s="22" t="str">
        <f aca="false">IF($A29="","",SUMIFS(Cobros!$F$2:$F$501,Cobros!$B$2:$B$501,$A29,Cobros!$A$2:$A$501,"&gt;="&amp;DATE($B$2,3,1),Cobros!$A$2:$A$501,"&lt;"&amp;DATE($B$2,3+1,1)))</f>
        <v/>
      </c>
      <c r="E29" s="22" t="str">
        <f aca="false">IF($A29="","",SUMIFS(Cobros!$F$2:$F$501,Cobros!$B$2:$B$501,$A29,Cobros!$A$2:$A$501,"&gt;="&amp;DATE($B$2,4,1),Cobros!$A$2:$A$501,"&lt;"&amp;DATE($B$2,4+1,1)))</f>
        <v/>
      </c>
      <c r="F29" s="22" t="str">
        <f aca="false">IF($A29="","",SUMIFS(Cobros!$F$2:$F$501,Cobros!$B$2:$B$501,$A29,Cobros!$A$2:$A$501,"&gt;="&amp;DATE($B$2,5,1),Cobros!$A$2:$A$501,"&lt;"&amp;DATE($B$2,5+1,1)))</f>
        <v/>
      </c>
      <c r="G29" s="22" t="str">
        <f aca="false">IF($A29="","",SUMIFS(Cobros!$F$2:$F$501,Cobros!$B$2:$B$501,$A29,Cobros!$A$2:$A$501,"&gt;="&amp;DATE($B$2,6,1),Cobros!$A$2:$A$501,"&lt;"&amp;DATE($B$2,6+1,1)))</f>
        <v/>
      </c>
      <c r="H29" s="22" t="str">
        <f aca="false">IF($A29="","",SUMIFS(Cobros!$F$2:$F$501,Cobros!$B$2:$B$501,$A29,Cobros!$A$2:$A$501,"&gt;="&amp;DATE($B$2,7,1),Cobros!$A$2:$A$501,"&lt;"&amp;DATE($B$2,7+1,1)))</f>
        <v/>
      </c>
      <c r="I29" s="22" t="str">
        <f aca="false">IF($A29="","",SUMIFS(Cobros!$F$2:$F$501,Cobros!$B$2:$B$501,$A29,Cobros!$A$2:$A$501,"&gt;="&amp;DATE($B$2,8,1),Cobros!$A$2:$A$501,"&lt;"&amp;DATE($B$2,8+1,1)))</f>
        <v/>
      </c>
      <c r="J29" s="22" t="str">
        <f aca="false">IF($A29="","",SUMIFS(Cobros!$F$2:$F$501,Cobros!$B$2:$B$501,$A29,Cobros!$A$2:$A$501,"&gt;="&amp;DATE($B$2,9,1),Cobros!$A$2:$A$501,"&lt;"&amp;DATE($B$2,9+1,1)))</f>
        <v/>
      </c>
      <c r="K29" s="22" t="str">
        <f aca="false">IF($A29="","",SUMIFS(Cobros!$F$2:$F$501,Cobros!$B$2:$B$501,$A29,Cobros!$A$2:$A$501,"&gt;="&amp;DATE($B$2,10,1),Cobros!$A$2:$A$501,"&lt;"&amp;DATE($B$2,10+1,1)))</f>
        <v/>
      </c>
      <c r="L29" s="22" t="str">
        <f aca="false">IF($A29="","",SUMIFS(Cobros!$F$2:$F$501,Cobros!$B$2:$B$501,$A29,Cobros!$A$2:$A$501,"&gt;="&amp;DATE($B$2,11,1),Cobros!$A$2:$A$501,"&lt;"&amp;DATE($B$2,11+1,1)))</f>
        <v/>
      </c>
      <c r="M29" s="22" t="str">
        <f aca="false">IF($A29="","",SUMIFS(Cobros!$F$2:$F$501,Cobros!$B$2:$B$501,$A29,Cobros!$A$2:$A$501,"&gt;="&amp;DATE($B$2,12,1),Cobros!$A$2:$A$501,"&lt;"&amp;DATE($B$2,12+1,1)))</f>
        <v/>
      </c>
      <c r="N29" s="31" t="str">
        <f aca="false">IF($A29="","",SUM(B29:M29))</f>
        <v/>
      </c>
      <c r="O29" s="32" t="str">
        <f aca="false">IF($A29="","",IF($N$35=0,0,N29/$N$35))</f>
        <v/>
      </c>
    </row>
    <row r="30" customFormat="false" ht="15" hidden="false" customHeight="false" outlineLevel="0" collapsed="false">
      <c r="A30" s="30" t="str">
        <f aca="false">IF(Configuración!A41="","",Configuración!A41)</f>
        <v/>
      </c>
      <c r="B30" s="22" t="str">
        <f aca="false">IF($A30="","",SUMIFS(Cobros!$F$2:$F$501,Cobros!$B$2:$B$501,$A30,Cobros!$A$2:$A$501,"&gt;="&amp;DATE($B$2,1,1),Cobros!$A$2:$A$501,"&lt;"&amp;DATE($B$2,1+1,1)))</f>
        <v/>
      </c>
      <c r="C30" s="22" t="str">
        <f aca="false">IF($A30="","",SUMIFS(Cobros!$F$2:$F$501,Cobros!$B$2:$B$501,$A30,Cobros!$A$2:$A$501,"&gt;="&amp;DATE($B$2,2,1),Cobros!$A$2:$A$501,"&lt;"&amp;DATE($B$2,2+1,1)))</f>
        <v/>
      </c>
      <c r="D30" s="22" t="str">
        <f aca="false">IF($A30="","",SUMIFS(Cobros!$F$2:$F$501,Cobros!$B$2:$B$501,$A30,Cobros!$A$2:$A$501,"&gt;="&amp;DATE($B$2,3,1),Cobros!$A$2:$A$501,"&lt;"&amp;DATE($B$2,3+1,1)))</f>
        <v/>
      </c>
      <c r="E30" s="22" t="str">
        <f aca="false">IF($A30="","",SUMIFS(Cobros!$F$2:$F$501,Cobros!$B$2:$B$501,$A30,Cobros!$A$2:$A$501,"&gt;="&amp;DATE($B$2,4,1),Cobros!$A$2:$A$501,"&lt;"&amp;DATE($B$2,4+1,1)))</f>
        <v/>
      </c>
      <c r="F30" s="22" t="str">
        <f aca="false">IF($A30="","",SUMIFS(Cobros!$F$2:$F$501,Cobros!$B$2:$B$501,$A30,Cobros!$A$2:$A$501,"&gt;="&amp;DATE($B$2,5,1),Cobros!$A$2:$A$501,"&lt;"&amp;DATE($B$2,5+1,1)))</f>
        <v/>
      </c>
      <c r="G30" s="22" t="str">
        <f aca="false">IF($A30="","",SUMIFS(Cobros!$F$2:$F$501,Cobros!$B$2:$B$501,$A30,Cobros!$A$2:$A$501,"&gt;="&amp;DATE($B$2,6,1),Cobros!$A$2:$A$501,"&lt;"&amp;DATE($B$2,6+1,1)))</f>
        <v/>
      </c>
      <c r="H30" s="22" t="str">
        <f aca="false">IF($A30="","",SUMIFS(Cobros!$F$2:$F$501,Cobros!$B$2:$B$501,$A30,Cobros!$A$2:$A$501,"&gt;="&amp;DATE($B$2,7,1),Cobros!$A$2:$A$501,"&lt;"&amp;DATE($B$2,7+1,1)))</f>
        <v/>
      </c>
      <c r="I30" s="22" t="str">
        <f aca="false">IF($A30="","",SUMIFS(Cobros!$F$2:$F$501,Cobros!$B$2:$B$501,$A30,Cobros!$A$2:$A$501,"&gt;="&amp;DATE($B$2,8,1),Cobros!$A$2:$A$501,"&lt;"&amp;DATE($B$2,8+1,1)))</f>
        <v/>
      </c>
      <c r="J30" s="22" t="str">
        <f aca="false">IF($A30="","",SUMIFS(Cobros!$F$2:$F$501,Cobros!$B$2:$B$501,$A30,Cobros!$A$2:$A$501,"&gt;="&amp;DATE($B$2,9,1),Cobros!$A$2:$A$501,"&lt;"&amp;DATE($B$2,9+1,1)))</f>
        <v/>
      </c>
      <c r="K30" s="22" t="str">
        <f aca="false">IF($A30="","",SUMIFS(Cobros!$F$2:$F$501,Cobros!$B$2:$B$501,$A30,Cobros!$A$2:$A$501,"&gt;="&amp;DATE($B$2,10,1),Cobros!$A$2:$A$501,"&lt;"&amp;DATE($B$2,10+1,1)))</f>
        <v/>
      </c>
      <c r="L30" s="22" t="str">
        <f aca="false">IF($A30="","",SUMIFS(Cobros!$F$2:$F$501,Cobros!$B$2:$B$501,$A30,Cobros!$A$2:$A$501,"&gt;="&amp;DATE($B$2,11,1),Cobros!$A$2:$A$501,"&lt;"&amp;DATE($B$2,11+1,1)))</f>
        <v/>
      </c>
      <c r="M30" s="22" t="str">
        <f aca="false">IF($A30="","",SUMIFS(Cobros!$F$2:$F$501,Cobros!$B$2:$B$501,$A30,Cobros!$A$2:$A$501,"&gt;="&amp;DATE($B$2,12,1),Cobros!$A$2:$A$501,"&lt;"&amp;DATE($B$2,12+1,1)))</f>
        <v/>
      </c>
      <c r="N30" s="31" t="str">
        <f aca="false">IF($A30="","",SUM(B30:M30))</f>
        <v/>
      </c>
      <c r="O30" s="32" t="str">
        <f aca="false">IF($A30="","",IF($N$35=0,0,N30/$N$35))</f>
        <v/>
      </c>
    </row>
    <row r="31" customFormat="false" ht="15" hidden="false" customHeight="false" outlineLevel="0" collapsed="false">
      <c r="A31" s="30" t="str">
        <f aca="false">IF(Configuración!A42="","",Configuración!A42)</f>
        <v/>
      </c>
      <c r="B31" s="22" t="str">
        <f aca="false">IF($A31="","",SUMIFS(Cobros!$F$2:$F$501,Cobros!$B$2:$B$501,$A31,Cobros!$A$2:$A$501,"&gt;="&amp;DATE($B$2,1,1),Cobros!$A$2:$A$501,"&lt;"&amp;DATE($B$2,1+1,1)))</f>
        <v/>
      </c>
      <c r="C31" s="22" t="str">
        <f aca="false">IF($A31="","",SUMIFS(Cobros!$F$2:$F$501,Cobros!$B$2:$B$501,$A31,Cobros!$A$2:$A$501,"&gt;="&amp;DATE($B$2,2,1),Cobros!$A$2:$A$501,"&lt;"&amp;DATE($B$2,2+1,1)))</f>
        <v/>
      </c>
      <c r="D31" s="22" t="str">
        <f aca="false">IF($A31="","",SUMIFS(Cobros!$F$2:$F$501,Cobros!$B$2:$B$501,$A31,Cobros!$A$2:$A$501,"&gt;="&amp;DATE($B$2,3,1),Cobros!$A$2:$A$501,"&lt;"&amp;DATE($B$2,3+1,1)))</f>
        <v/>
      </c>
      <c r="E31" s="22" t="str">
        <f aca="false">IF($A31="","",SUMIFS(Cobros!$F$2:$F$501,Cobros!$B$2:$B$501,$A31,Cobros!$A$2:$A$501,"&gt;="&amp;DATE($B$2,4,1),Cobros!$A$2:$A$501,"&lt;"&amp;DATE($B$2,4+1,1)))</f>
        <v/>
      </c>
      <c r="F31" s="22" t="str">
        <f aca="false">IF($A31="","",SUMIFS(Cobros!$F$2:$F$501,Cobros!$B$2:$B$501,$A31,Cobros!$A$2:$A$501,"&gt;="&amp;DATE($B$2,5,1),Cobros!$A$2:$A$501,"&lt;"&amp;DATE($B$2,5+1,1)))</f>
        <v/>
      </c>
      <c r="G31" s="22" t="str">
        <f aca="false">IF($A31="","",SUMIFS(Cobros!$F$2:$F$501,Cobros!$B$2:$B$501,$A31,Cobros!$A$2:$A$501,"&gt;="&amp;DATE($B$2,6,1),Cobros!$A$2:$A$501,"&lt;"&amp;DATE($B$2,6+1,1)))</f>
        <v/>
      </c>
      <c r="H31" s="22" t="str">
        <f aca="false">IF($A31="","",SUMIFS(Cobros!$F$2:$F$501,Cobros!$B$2:$B$501,$A31,Cobros!$A$2:$A$501,"&gt;="&amp;DATE($B$2,7,1),Cobros!$A$2:$A$501,"&lt;"&amp;DATE($B$2,7+1,1)))</f>
        <v/>
      </c>
      <c r="I31" s="22" t="str">
        <f aca="false">IF($A31="","",SUMIFS(Cobros!$F$2:$F$501,Cobros!$B$2:$B$501,$A31,Cobros!$A$2:$A$501,"&gt;="&amp;DATE($B$2,8,1),Cobros!$A$2:$A$501,"&lt;"&amp;DATE($B$2,8+1,1)))</f>
        <v/>
      </c>
      <c r="J31" s="22" t="str">
        <f aca="false">IF($A31="","",SUMIFS(Cobros!$F$2:$F$501,Cobros!$B$2:$B$501,$A31,Cobros!$A$2:$A$501,"&gt;="&amp;DATE($B$2,9,1),Cobros!$A$2:$A$501,"&lt;"&amp;DATE($B$2,9+1,1)))</f>
        <v/>
      </c>
      <c r="K31" s="22" t="str">
        <f aca="false">IF($A31="","",SUMIFS(Cobros!$F$2:$F$501,Cobros!$B$2:$B$501,$A31,Cobros!$A$2:$A$501,"&gt;="&amp;DATE($B$2,10,1),Cobros!$A$2:$A$501,"&lt;"&amp;DATE($B$2,10+1,1)))</f>
        <v/>
      </c>
      <c r="L31" s="22" t="str">
        <f aca="false">IF($A31="","",SUMIFS(Cobros!$F$2:$F$501,Cobros!$B$2:$B$501,$A31,Cobros!$A$2:$A$501,"&gt;="&amp;DATE($B$2,11,1),Cobros!$A$2:$A$501,"&lt;"&amp;DATE($B$2,11+1,1)))</f>
        <v/>
      </c>
      <c r="M31" s="22" t="str">
        <f aca="false">IF($A31="","",SUMIFS(Cobros!$F$2:$F$501,Cobros!$B$2:$B$501,$A31,Cobros!$A$2:$A$501,"&gt;="&amp;DATE($B$2,12,1),Cobros!$A$2:$A$501,"&lt;"&amp;DATE($B$2,12+1,1)))</f>
        <v/>
      </c>
      <c r="N31" s="31" t="str">
        <f aca="false">IF($A31="","",SUM(B31:M31))</f>
        <v/>
      </c>
      <c r="O31" s="32" t="str">
        <f aca="false">IF($A31="","",IF($N$35=0,0,N31/$N$35))</f>
        <v/>
      </c>
    </row>
    <row r="32" customFormat="false" ht="15" hidden="false" customHeight="false" outlineLevel="0" collapsed="false">
      <c r="A32" s="30" t="str">
        <f aca="false">IF(Configuración!A43="","",Configuración!A43)</f>
        <v/>
      </c>
      <c r="B32" s="22" t="str">
        <f aca="false">IF($A32="","",SUMIFS(Cobros!$F$2:$F$501,Cobros!$B$2:$B$501,$A32,Cobros!$A$2:$A$501,"&gt;="&amp;DATE($B$2,1,1),Cobros!$A$2:$A$501,"&lt;"&amp;DATE($B$2,1+1,1)))</f>
        <v/>
      </c>
      <c r="C32" s="22" t="str">
        <f aca="false">IF($A32="","",SUMIFS(Cobros!$F$2:$F$501,Cobros!$B$2:$B$501,$A32,Cobros!$A$2:$A$501,"&gt;="&amp;DATE($B$2,2,1),Cobros!$A$2:$A$501,"&lt;"&amp;DATE($B$2,2+1,1)))</f>
        <v/>
      </c>
      <c r="D32" s="22" t="str">
        <f aca="false">IF($A32="","",SUMIFS(Cobros!$F$2:$F$501,Cobros!$B$2:$B$501,$A32,Cobros!$A$2:$A$501,"&gt;="&amp;DATE($B$2,3,1),Cobros!$A$2:$A$501,"&lt;"&amp;DATE($B$2,3+1,1)))</f>
        <v/>
      </c>
      <c r="E32" s="22" t="str">
        <f aca="false">IF($A32="","",SUMIFS(Cobros!$F$2:$F$501,Cobros!$B$2:$B$501,$A32,Cobros!$A$2:$A$501,"&gt;="&amp;DATE($B$2,4,1),Cobros!$A$2:$A$501,"&lt;"&amp;DATE($B$2,4+1,1)))</f>
        <v/>
      </c>
      <c r="F32" s="22" t="str">
        <f aca="false">IF($A32="","",SUMIFS(Cobros!$F$2:$F$501,Cobros!$B$2:$B$501,$A32,Cobros!$A$2:$A$501,"&gt;="&amp;DATE($B$2,5,1),Cobros!$A$2:$A$501,"&lt;"&amp;DATE($B$2,5+1,1)))</f>
        <v/>
      </c>
      <c r="G32" s="22" t="str">
        <f aca="false">IF($A32="","",SUMIFS(Cobros!$F$2:$F$501,Cobros!$B$2:$B$501,$A32,Cobros!$A$2:$A$501,"&gt;="&amp;DATE($B$2,6,1),Cobros!$A$2:$A$501,"&lt;"&amp;DATE($B$2,6+1,1)))</f>
        <v/>
      </c>
      <c r="H32" s="22" t="str">
        <f aca="false">IF($A32="","",SUMIFS(Cobros!$F$2:$F$501,Cobros!$B$2:$B$501,$A32,Cobros!$A$2:$A$501,"&gt;="&amp;DATE($B$2,7,1),Cobros!$A$2:$A$501,"&lt;"&amp;DATE($B$2,7+1,1)))</f>
        <v/>
      </c>
      <c r="I32" s="22" t="str">
        <f aca="false">IF($A32="","",SUMIFS(Cobros!$F$2:$F$501,Cobros!$B$2:$B$501,$A32,Cobros!$A$2:$A$501,"&gt;="&amp;DATE($B$2,8,1),Cobros!$A$2:$A$501,"&lt;"&amp;DATE($B$2,8+1,1)))</f>
        <v/>
      </c>
      <c r="J32" s="22" t="str">
        <f aca="false">IF($A32="","",SUMIFS(Cobros!$F$2:$F$501,Cobros!$B$2:$B$501,$A32,Cobros!$A$2:$A$501,"&gt;="&amp;DATE($B$2,9,1),Cobros!$A$2:$A$501,"&lt;"&amp;DATE($B$2,9+1,1)))</f>
        <v/>
      </c>
      <c r="K32" s="22" t="str">
        <f aca="false">IF($A32="","",SUMIFS(Cobros!$F$2:$F$501,Cobros!$B$2:$B$501,$A32,Cobros!$A$2:$A$501,"&gt;="&amp;DATE($B$2,10,1),Cobros!$A$2:$A$501,"&lt;"&amp;DATE($B$2,10+1,1)))</f>
        <v/>
      </c>
      <c r="L32" s="22" t="str">
        <f aca="false">IF($A32="","",SUMIFS(Cobros!$F$2:$F$501,Cobros!$B$2:$B$501,$A32,Cobros!$A$2:$A$501,"&gt;="&amp;DATE($B$2,11,1),Cobros!$A$2:$A$501,"&lt;"&amp;DATE($B$2,11+1,1)))</f>
        <v/>
      </c>
      <c r="M32" s="22" t="str">
        <f aca="false">IF($A32="","",SUMIFS(Cobros!$F$2:$F$501,Cobros!$B$2:$B$501,$A32,Cobros!$A$2:$A$501,"&gt;="&amp;DATE($B$2,12,1),Cobros!$A$2:$A$501,"&lt;"&amp;DATE($B$2,12+1,1)))</f>
        <v/>
      </c>
      <c r="N32" s="31" t="str">
        <f aca="false">IF($A32="","",SUM(B32:M32))</f>
        <v/>
      </c>
      <c r="O32" s="32" t="str">
        <f aca="false">IF($A32="","",IF($N$35=0,0,N32/$N$35))</f>
        <v/>
      </c>
    </row>
    <row r="33" customFormat="false" ht="15" hidden="false" customHeight="false" outlineLevel="0" collapsed="false">
      <c r="A33" s="30" t="str">
        <f aca="false">IF(Configuración!A44="","",Configuración!A44)</f>
        <v/>
      </c>
      <c r="B33" s="22" t="str">
        <f aca="false">IF($A33="","",SUMIFS(Cobros!$F$2:$F$501,Cobros!$B$2:$B$501,$A33,Cobros!$A$2:$A$501,"&gt;="&amp;DATE($B$2,1,1),Cobros!$A$2:$A$501,"&lt;"&amp;DATE($B$2,1+1,1)))</f>
        <v/>
      </c>
      <c r="C33" s="22" t="str">
        <f aca="false">IF($A33="","",SUMIFS(Cobros!$F$2:$F$501,Cobros!$B$2:$B$501,$A33,Cobros!$A$2:$A$501,"&gt;="&amp;DATE($B$2,2,1),Cobros!$A$2:$A$501,"&lt;"&amp;DATE($B$2,2+1,1)))</f>
        <v/>
      </c>
      <c r="D33" s="22" t="str">
        <f aca="false">IF($A33="","",SUMIFS(Cobros!$F$2:$F$501,Cobros!$B$2:$B$501,$A33,Cobros!$A$2:$A$501,"&gt;="&amp;DATE($B$2,3,1),Cobros!$A$2:$A$501,"&lt;"&amp;DATE($B$2,3+1,1)))</f>
        <v/>
      </c>
      <c r="E33" s="22" t="str">
        <f aca="false">IF($A33="","",SUMIFS(Cobros!$F$2:$F$501,Cobros!$B$2:$B$501,$A33,Cobros!$A$2:$A$501,"&gt;="&amp;DATE($B$2,4,1),Cobros!$A$2:$A$501,"&lt;"&amp;DATE($B$2,4+1,1)))</f>
        <v/>
      </c>
      <c r="F33" s="22" t="str">
        <f aca="false">IF($A33="","",SUMIFS(Cobros!$F$2:$F$501,Cobros!$B$2:$B$501,$A33,Cobros!$A$2:$A$501,"&gt;="&amp;DATE($B$2,5,1),Cobros!$A$2:$A$501,"&lt;"&amp;DATE($B$2,5+1,1)))</f>
        <v/>
      </c>
      <c r="G33" s="22" t="str">
        <f aca="false">IF($A33="","",SUMIFS(Cobros!$F$2:$F$501,Cobros!$B$2:$B$501,$A33,Cobros!$A$2:$A$501,"&gt;="&amp;DATE($B$2,6,1),Cobros!$A$2:$A$501,"&lt;"&amp;DATE($B$2,6+1,1)))</f>
        <v/>
      </c>
      <c r="H33" s="22" t="str">
        <f aca="false">IF($A33="","",SUMIFS(Cobros!$F$2:$F$501,Cobros!$B$2:$B$501,$A33,Cobros!$A$2:$A$501,"&gt;="&amp;DATE($B$2,7,1),Cobros!$A$2:$A$501,"&lt;"&amp;DATE($B$2,7+1,1)))</f>
        <v/>
      </c>
      <c r="I33" s="22" t="str">
        <f aca="false">IF($A33="","",SUMIFS(Cobros!$F$2:$F$501,Cobros!$B$2:$B$501,$A33,Cobros!$A$2:$A$501,"&gt;="&amp;DATE($B$2,8,1),Cobros!$A$2:$A$501,"&lt;"&amp;DATE($B$2,8+1,1)))</f>
        <v/>
      </c>
      <c r="J33" s="22" t="str">
        <f aca="false">IF($A33="","",SUMIFS(Cobros!$F$2:$F$501,Cobros!$B$2:$B$501,$A33,Cobros!$A$2:$A$501,"&gt;="&amp;DATE($B$2,9,1),Cobros!$A$2:$A$501,"&lt;"&amp;DATE($B$2,9+1,1)))</f>
        <v/>
      </c>
      <c r="K33" s="22" t="str">
        <f aca="false">IF($A33="","",SUMIFS(Cobros!$F$2:$F$501,Cobros!$B$2:$B$501,$A33,Cobros!$A$2:$A$501,"&gt;="&amp;DATE($B$2,10,1),Cobros!$A$2:$A$501,"&lt;"&amp;DATE($B$2,10+1,1)))</f>
        <v/>
      </c>
      <c r="L33" s="22" t="str">
        <f aca="false">IF($A33="","",SUMIFS(Cobros!$F$2:$F$501,Cobros!$B$2:$B$501,$A33,Cobros!$A$2:$A$501,"&gt;="&amp;DATE($B$2,11,1),Cobros!$A$2:$A$501,"&lt;"&amp;DATE($B$2,11+1,1)))</f>
        <v/>
      </c>
      <c r="M33" s="22" t="str">
        <f aca="false">IF($A33="","",SUMIFS(Cobros!$F$2:$F$501,Cobros!$B$2:$B$501,$A33,Cobros!$A$2:$A$501,"&gt;="&amp;DATE($B$2,12,1),Cobros!$A$2:$A$501,"&lt;"&amp;DATE($B$2,12+1,1)))</f>
        <v/>
      </c>
      <c r="N33" s="31" t="str">
        <f aca="false">IF($A33="","",SUM(B33:M33))</f>
        <v/>
      </c>
      <c r="O33" s="32" t="str">
        <f aca="false">IF($A33="","",IF($N$35=0,0,N33/$N$35))</f>
        <v/>
      </c>
    </row>
    <row r="34" customFormat="false" ht="15" hidden="false" customHeight="false" outlineLevel="0" collapsed="false">
      <c r="A34" s="30" t="str">
        <f aca="false">IF(Configuración!A45="","",Configuración!A45)</f>
        <v/>
      </c>
      <c r="B34" s="22" t="str">
        <f aca="false">IF($A34="","",SUMIFS(Cobros!$F$2:$F$501,Cobros!$B$2:$B$501,$A34,Cobros!$A$2:$A$501,"&gt;="&amp;DATE($B$2,1,1),Cobros!$A$2:$A$501,"&lt;"&amp;DATE($B$2,1+1,1)))</f>
        <v/>
      </c>
      <c r="C34" s="22" t="str">
        <f aca="false">IF($A34="","",SUMIFS(Cobros!$F$2:$F$501,Cobros!$B$2:$B$501,$A34,Cobros!$A$2:$A$501,"&gt;="&amp;DATE($B$2,2,1),Cobros!$A$2:$A$501,"&lt;"&amp;DATE($B$2,2+1,1)))</f>
        <v/>
      </c>
      <c r="D34" s="22" t="str">
        <f aca="false">IF($A34="","",SUMIFS(Cobros!$F$2:$F$501,Cobros!$B$2:$B$501,$A34,Cobros!$A$2:$A$501,"&gt;="&amp;DATE($B$2,3,1),Cobros!$A$2:$A$501,"&lt;"&amp;DATE($B$2,3+1,1)))</f>
        <v/>
      </c>
      <c r="E34" s="22" t="str">
        <f aca="false">IF($A34="","",SUMIFS(Cobros!$F$2:$F$501,Cobros!$B$2:$B$501,$A34,Cobros!$A$2:$A$501,"&gt;="&amp;DATE($B$2,4,1),Cobros!$A$2:$A$501,"&lt;"&amp;DATE($B$2,4+1,1)))</f>
        <v/>
      </c>
      <c r="F34" s="22" t="str">
        <f aca="false">IF($A34="","",SUMIFS(Cobros!$F$2:$F$501,Cobros!$B$2:$B$501,$A34,Cobros!$A$2:$A$501,"&gt;="&amp;DATE($B$2,5,1),Cobros!$A$2:$A$501,"&lt;"&amp;DATE($B$2,5+1,1)))</f>
        <v/>
      </c>
      <c r="G34" s="22" t="str">
        <f aca="false">IF($A34="","",SUMIFS(Cobros!$F$2:$F$501,Cobros!$B$2:$B$501,$A34,Cobros!$A$2:$A$501,"&gt;="&amp;DATE($B$2,6,1),Cobros!$A$2:$A$501,"&lt;"&amp;DATE($B$2,6+1,1)))</f>
        <v/>
      </c>
      <c r="H34" s="22" t="str">
        <f aca="false">IF($A34="","",SUMIFS(Cobros!$F$2:$F$501,Cobros!$B$2:$B$501,$A34,Cobros!$A$2:$A$501,"&gt;="&amp;DATE($B$2,7,1),Cobros!$A$2:$A$501,"&lt;"&amp;DATE($B$2,7+1,1)))</f>
        <v/>
      </c>
      <c r="I34" s="22" t="str">
        <f aca="false">IF($A34="","",SUMIFS(Cobros!$F$2:$F$501,Cobros!$B$2:$B$501,$A34,Cobros!$A$2:$A$501,"&gt;="&amp;DATE($B$2,8,1),Cobros!$A$2:$A$501,"&lt;"&amp;DATE($B$2,8+1,1)))</f>
        <v/>
      </c>
      <c r="J34" s="22" t="str">
        <f aca="false">IF($A34="","",SUMIFS(Cobros!$F$2:$F$501,Cobros!$B$2:$B$501,$A34,Cobros!$A$2:$A$501,"&gt;="&amp;DATE($B$2,9,1),Cobros!$A$2:$A$501,"&lt;"&amp;DATE($B$2,9+1,1)))</f>
        <v/>
      </c>
      <c r="K34" s="22" t="str">
        <f aca="false">IF($A34="","",SUMIFS(Cobros!$F$2:$F$501,Cobros!$B$2:$B$501,$A34,Cobros!$A$2:$A$501,"&gt;="&amp;DATE($B$2,10,1),Cobros!$A$2:$A$501,"&lt;"&amp;DATE($B$2,10+1,1)))</f>
        <v/>
      </c>
      <c r="L34" s="22" t="str">
        <f aca="false">IF($A34="","",SUMIFS(Cobros!$F$2:$F$501,Cobros!$B$2:$B$501,$A34,Cobros!$A$2:$A$501,"&gt;="&amp;DATE($B$2,11,1),Cobros!$A$2:$A$501,"&lt;"&amp;DATE($B$2,11+1,1)))</f>
        <v/>
      </c>
      <c r="M34" s="22" t="str">
        <f aca="false">IF($A34="","",SUMIFS(Cobros!$F$2:$F$501,Cobros!$B$2:$B$501,$A34,Cobros!$A$2:$A$501,"&gt;="&amp;DATE($B$2,12,1),Cobros!$A$2:$A$501,"&lt;"&amp;DATE($B$2,12+1,1)))</f>
        <v/>
      </c>
      <c r="N34" s="31" t="str">
        <f aca="false">IF($A34="","",SUM(B34:M34))</f>
        <v/>
      </c>
      <c r="O34" s="32" t="str">
        <f aca="false">IF($A34="","",IF($N$35=0,0,N34/$N$35))</f>
        <v/>
      </c>
    </row>
    <row r="35" customFormat="false" ht="15" hidden="false" customHeight="false" outlineLevel="0" collapsed="false">
      <c r="A35" s="23" t="s">
        <v>108</v>
      </c>
      <c r="B35" s="25" t="n">
        <f aca="false">SUM(B5:B34)</f>
        <v>0</v>
      </c>
      <c r="C35" s="25" t="n">
        <f aca="false">SUM(C5:C34)</f>
        <v>0</v>
      </c>
      <c r="D35" s="25" t="n">
        <f aca="false">SUM(D5:D34)</f>
        <v>0</v>
      </c>
      <c r="E35" s="25" t="n">
        <f aca="false">SUM(E5:E34)</f>
        <v>0</v>
      </c>
      <c r="F35" s="25" t="n">
        <f aca="false">SUM(F5:F34)</f>
        <v>0</v>
      </c>
      <c r="G35" s="25" t="n">
        <f aca="false">SUM(G5:G34)</f>
        <v>0</v>
      </c>
      <c r="H35" s="25" t="n">
        <f aca="false">SUM(H5:H34)</f>
        <v>0</v>
      </c>
      <c r="I35" s="25" t="n">
        <f aca="false">SUM(I5:I34)</f>
        <v>0</v>
      </c>
      <c r="J35" s="25" t="n">
        <f aca="false">SUM(J5:J34)</f>
        <v>2000</v>
      </c>
      <c r="K35" s="25" t="n">
        <f aca="false">SUM(K5:K34)</f>
        <v>3500</v>
      </c>
      <c r="L35" s="25" t="n">
        <f aca="false">SUM(L5:L34)</f>
        <v>0</v>
      </c>
      <c r="M35" s="25" t="n">
        <f aca="false">SUM(M5:M34)</f>
        <v>0</v>
      </c>
      <c r="N35" s="25" t="n">
        <f aca="false">SUM(N5:N34)</f>
        <v>5500</v>
      </c>
      <c r="O35" s="33" t="n">
        <f aca="false">IF(N35=0,0,1)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2026-10-06T19:58:48Z</dcterms:created>
  <dc:creator>openpyxl</dc:creator>
  <dc:description/>
  <dc:language>en-US</dc:language>
  <cp:lastModifiedBy/>
  <dcterms:modified xsi:type="dcterms:W3CDTF">2026-10-06T19:58:51Z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